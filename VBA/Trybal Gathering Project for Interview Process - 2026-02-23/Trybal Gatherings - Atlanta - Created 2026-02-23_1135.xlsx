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llelmorris/Downloads/"/>
    </mc:Choice>
  </mc:AlternateContent>
  <xr:revisionPtr revIDLastSave="0" documentId="8_{B38501BF-8FA2-DC4E-83C1-5FE0792A8DE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ashboards" sheetId="9" r:id="rId1"/>
    <sheet name="Summary tables" sheetId="8" r:id="rId2"/>
    <sheet name="Playground" sheetId="7" r:id="rId3"/>
    <sheet name="Data Dictionary" sheetId="2" r:id="rId4"/>
    <sheet name="Data" sheetId="6" r:id="rId5"/>
  </sheets>
  <calcPr calcId="0"/>
  <pivotCaches>
    <pivotCache cacheId="49" r:id="rId6"/>
  </pivotCaches>
  <extLst>
    <ext uri="GoogleSheetsCustomDataVersion2">
      <go:sheetsCustomData xmlns:go="http://customooxmlschemas.google.com/" r:id="rId7" roundtripDataChecksum="TSFJNAAAeYwpD6MlTF0mkxcVrQlCx4hLGAz09l5cJUQ="/>
    </ext>
  </extLst>
</workbook>
</file>

<file path=xl/sharedStrings.xml><?xml version="1.0" encoding="utf-8"?>
<sst xmlns="http://schemas.openxmlformats.org/spreadsheetml/2006/main" count="1763" uniqueCount="609">
  <si>
    <t>Camp</t>
  </si>
  <si>
    <t>Registration ID</t>
  </si>
  <si>
    <t>Registration Date</t>
  </si>
  <si>
    <t>Name (Last Name)</t>
  </si>
  <si>
    <t>Tickets</t>
  </si>
  <si>
    <t>Coupon Code (Code)</t>
  </si>
  <si>
    <t>Revenue</t>
  </si>
  <si>
    <t>Total Paid ($ Amount)</t>
  </si>
  <si>
    <t>Processing &amp; Fees ($ Amount)</t>
  </si>
  <si>
    <t>Gender</t>
  </si>
  <si>
    <t>Date of Birth</t>
  </si>
  <si>
    <t>Age</t>
  </si>
  <si>
    <t>Address (City)</t>
  </si>
  <si>
    <t>Address (State)</t>
  </si>
  <si>
    <t>Address (ZIP/Postal Code)</t>
  </si>
  <si>
    <t>Address (Country)</t>
  </si>
  <si>
    <t>I confirm that all attendees registered under this order are over the age of 21 and will bring proof of age (government-issued Photo ID) to check-in at camp.</t>
  </si>
  <si>
    <t>T-Shirt Size</t>
  </si>
  <si>
    <t>Do you have any dietary restrictions? (None)</t>
  </si>
  <si>
    <t>Please explain</t>
  </si>
  <si>
    <t>Do you have a cabin preference?</t>
  </si>
  <si>
    <t>Do you have a roommate request?</t>
  </si>
  <si>
    <t>Please list their full name</t>
  </si>
  <si>
    <t>Do you have any bunkmate requests? Please list their name(s)</t>
  </si>
  <si>
    <t>What's your Jewish background?</t>
  </si>
  <si>
    <t>What brings you to Trybal?</t>
  </si>
  <si>
    <t>Have you attended any Trybal Gatherings events in the past? (Yes, Trybal camps)</t>
  </si>
  <si>
    <t>Have you attended any Trybal Gatherings events in the past? (Yes, Trybal events)</t>
  </si>
  <si>
    <t>Have you attended any Trybal Gatherings events in the past? (Yes, Ambassador events)</t>
  </si>
  <si>
    <t>Is this your first time at a Trybal Gathering experience?</t>
  </si>
  <si>
    <t>Which camps? (Berkshires 2017)</t>
  </si>
  <si>
    <t>Which camps? (Berkshires 2018)</t>
  </si>
  <si>
    <t>Which camps? (Berkshires 2019)</t>
  </si>
  <si>
    <t>Which camps? (Berkshires 2021)</t>
  </si>
  <si>
    <t>Which camps? (Berkshires 2022 Session 1)</t>
  </si>
  <si>
    <t>Which camps? (Berkshires 2022 Session 2)</t>
  </si>
  <si>
    <t>Which camps? (Berkshires 2023 Session 1)</t>
  </si>
  <si>
    <t>Which camps? (Berkshires 2023 Session 2)</t>
  </si>
  <si>
    <t>Which camps? (SoCal 2017)</t>
  </si>
  <si>
    <t>Which camps? (SoCal 2018)</t>
  </si>
  <si>
    <t>Which camps? (SoCal 2019)</t>
  </si>
  <si>
    <t>Which camps? (SoCal 2021)</t>
  </si>
  <si>
    <t>Which camps? (SoCal 2022)</t>
  </si>
  <si>
    <t>Which camps? (SoCal 2023)</t>
  </si>
  <si>
    <t>Which camps? (Midwest 2018)</t>
  </si>
  <si>
    <t>Which camps? (Midwest 2019)</t>
  </si>
  <si>
    <t>Which camps? (Midwest 2022)</t>
  </si>
  <si>
    <t>Which camps? (Midwest 2023)</t>
  </si>
  <si>
    <t>Which camps? (Chicago Day Camp 2021)</t>
  </si>
  <si>
    <t>Which camps? (Chicago Day Camp 2023)</t>
  </si>
  <si>
    <t>Which camps? (Seattle Day Camp 2021)</t>
  </si>
  <si>
    <t>Which camps? (Atlanta Day Camp 2021)</t>
  </si>
  <si>
    <t>Which camps? (South 2022)</t>
  </si>
  <si>
    <t>Which camps? (LA Day Camp 2022)</t>
  </si>
  <si>
    <t>Which camps? (LA Day Camp 2023)</t>
  </si>
  <si>
    <t>How did you hear about Trybal? (I'm an alum)</t>
  </si>
  <si>
    <t>How did you hear about Trybal? (Another Trybal event)</t>
  </si>
  <si>
    <t>How did you hear about Trybal? (Jewish Federation of Greater Atlanta)</t>
  </si>
  <si>
    <t>How did you hear about Trybal? (Marcus JCC of Atlanta (MJCCA))</t>
  </si>
  <si>
    <t>How did you hear about Trybal? (The Temple)</t>
  </si>
  <si>
    <t>How did you hear about Trybal? (Honeymoon Israel)</t>
  </si>
  <si>
    <t>How did you hear about Trybal? (Friends)</t>
  </si>
  <si>
    <t>How did you hear about Trybal? (Facebook)</t>
  </si>
  <si>
    <t>How did you hear about Trybal? (Instagram)</t>
  </si>
  <si>
    <t>How did you hear about Trybal? (A family member)</t>
  </si>
  <si>
    <t>How did you hear about Trybal? (Internet search)</t>
  </si>
  <si>
    <t>How did you hear about Trybal? (Press)</t>
  </si>
  <si>
    <t>How did you hear about Trybal? (Another Jewish organization)</t>
  </si>
  <si>
    <t>How did you hear about Trybal? (Other)</t>
  </si>
  <si>
    <t>Did you ever attend camp as a kid or as a staff member? (Yes, day camp)</t>
  </si>
  <si>
    <t>Did you ever attend camp as a kid or as a staff member? (Yes, overnight camp)</t>
  </si>
  <si>
    <t>Did you ever attend camp as a kid or as a staff member? (No)</t>
  </si>
  <si>
    <t>Which camp(s)?</t>
  </si>
  <si>
    <t>Which friend(s)?</t>
  </si>
  <si>
    <t>Which other Jewish organization(s)?</t>
  </si>
  <si>
    <t>Where'd you hear about Trybal?</t>
  </si>
  <si>
    <t>Do you have any medical or accessibility considerations we should be aware of?</t>
  </si>
  <si>
    <t>Are you interested in taking the bus from NYC?</t>
  </si>
  <si>
    <t>What do you do for a living?</t>
  </si>
  <si>
    <t>Tell us a fun fact about yourself!</t>
  </si>
  <si>
    <t>What's your favorite midnight snack?</t>
  </si>
  <si>
    <t>Anything else you want us to know?</t>
  </si>
  <si>
    <t>Please accept this waiver in order to register for the event.</t>
  </si>
  <si>
    <t>Atlanta</t>
  </si>
  <si>
    <t>Akyol</t>
  </si>
  <si>
    <t>Standard Ticket</t>
  </si>
  <si>
    <t>Male</t>
  </si>
  <si>
    <t>GA</t>
  </si>
  <si>
    <t>30341-1421</t>
  </si>
  <si>
    <t>US</t>
  </si>
  <si>
    <t>Confirm</t>
  </si>
  <si>
    <t>M</t>
  </si>
  <si>
    <t>Kosher</t>
  </si>
  <si>
    <t>I'm not Jewish</t>
  </si>
  <si>
    <t>I've never had a camp experience and always wanted to have one!</t>
  </si>
  <si>
    <t>Yes</t>
  </si>
  <si>
    <t>No</t>
  </si>
  <si>
    <t>Research and development engineer for a medical device startup</t>
  </si>
  <si>
    <t>I enjoy woodworking and have built 2 small rowboats!</t>
  </si>
  <si>
    <t>Granola with coffee creamer</t>
  </si>
  <si>
    <t>Barzey</t>
  </si>
  <si>
    <t>Early Bird Ticket</t>
  </si>
  <si>
    <t>Non-binary</t>
  </si>
  <si>
    <t>XL</t>
  </si>
  <si>
    <t>None</t>
  </si>
  <si>
    <t>Just Jewish</t>
  </si>
  <si>
    <t>High Meadows Camp, Camp Crescendo</t>
  </si>
  <si>
    <t>I have chronic muscle pain that sometimes limits my mobility. Assistance with golf carts has been so helpful at past events!</t>
  </si>
  <si>
    <t>Therapist</t>
  </si>
  <si>
    <t>I forage mushrooms!</t>
  </si>
  <si>
    <t>Cereal</t>
  </si>
  <si>
    <t>Birnbaum</t>
  </si>
  <si>
    <t>Female</t>
  </si>
  <si>
    <t>L</t>
  </si>
  <si>
    <t>Other</t>
  </si>
  <si>
    <t>Walnut Allergy</t>
  </si>
  <si>
    <t>Reform</t>
  </si>
  <si>
    <t>URJ Camp Coleman</t>
  </si>
  <si>
    <t>Parker Brady, Annika Pracher</t>
  </si>
  <si>
    <t>Marketing</t>
  </si>
  <si>
    <t>I can juggle</t>
  </si>
  <si>
    <t>Oreos</t>
  </si>
  <si>
    <t>I was always on the winning team during Maccabiah every single summer I attended Coleman</t>
  </si>
  <si>
    <t>Book</t>
  </si>
  <si>
    <t>Conservative</t>
  </si>
  <si>
    <t>Ramah Darom</t>
  </si>
  <si>
    <t>Kat Shambaugh</t>
  </si>
  <si>
    <t>Law Student</t>
  </si>
  <si>
    <t>I had a pet snake growing up</t>
  </si>
  <si>
    <t>Frozen Grapes</t>
  </si>
  <si>
    <t>Brady</t>
  </si>
  <si>
    <t>Alpharetta</t>
  </si>
  <si>
    <t>S</t>
  </si>
  <si>
    <t>Allergic to raw tomatoes</t>
  </si>
  <si>
    <t>YMCA Camp Warren, YMCA Camp Manitou, both in Minnesota, as camper and counselor</t>
  </si>
  <si>
    <t>Storm water engineer</t>
  </si>
  <si>
    <t>I've lived in six states and two countries!</t>
  </si>
  <si>
    <t>Cookie dough</t>
  </si>
  <si>
    <t>Brody</t>
  </si>
  <si>
    <t>Culturally Jewish</t>
  </si>
  <si>
    <t>I work for a healthcare staffing company</t>
  </si>
  <si>
    <t>Brown</t>
  </si>
  <si>
    <t>Decatur</t>
  </si>
  <si>
    <t>Fun w sis</t>
  </si>
  <si>
    <t>Chanin</t>
  </si>
  <si>
    <t>XXL</t>
  </si>
  <si>
    <t>Pinemere Camp, URJ Camp Harlam</t>
  </si>
  <si>
    <t>Customer Relaitions in Digital Supply Chain management</t>
  </si>
  <si>
    <t>Pizza</t>
  </si>
  <si>
    <t>Cobb</t>
  </si>
  <si>
    <t>Instagram and sister in law is Jewish</t>
  </si>
  <si>
    <t>Girls Scout Camp</t>
  </si>
  <si>
    <t>Nurse manager</t>
  </si>
  <si>
    <t>I lived in Moldova for 2 years as a Peace Corps volunteer</t>
  </si>
  <si>
    <t>Chocolate</t>
  </si>
  <si>
    <t>Comisar</t>
  </si>
  <si>
    <t>WAFFLES</t>
  </si>
  <si>
    <t>johns creek</t>
  </si>
  <si>
    <t>A variety of camps</t>
  </si>
  <si>
    <t>Strat Ops in tech</t>
  </si>
  <si>
    <t>I recently moved from San Francisco</t>
  </si>
  <si>
    <t>Popcorn and goldfish</t>
  </si>
  <si>
    <t>I’m new to Atlanta and looking to meet friends in their late 20s/early 30s. Single :)</t>
  </si>
  <si>
    <t>Ferenczy</t>
  </si>
  <si>
    <t>Duluth</t>
  </si>
  <si>
    <t>Isadore Alterman</t>
  </si>
  <si>
    <t>Ehlers Danlos Syndrome, Hypermobility Type; mainly, I have some mobility issues and I use a forearm crutch to get around. I'm not really able to do much running or jumping, just for the record, and I have a hard time walking hills or long distances on gravel or sand</t>
  </si>
  <si>
    <t>I'm a college student</t>
  </si>
  <si>
    <t>I make model cars and other scale models</t>
  </si>
  <si>
    <t>French fries</t>
  </si>
  <si>
    <t>Not really?</t>
  </si>
  <si>
    <t>Florence</t>
  </si>
  <si>
    <t>HMIDAYCAMP</t>
  </si>
  <si>
    <t>38120-2833</t>
  </si>
  <si>
    <t>Timberlane</t>
  </si>
  <si>
    <t>Friedland</t>
  </si>
  <si>
    <t>East Point</t>
  </si>
  <si>
    <t>Camp Hillard Day Camp, variety non-Jewish overnight camps (Camp Minikani, Interlochen Arts Camp, Boston University Tanglewood Insitute....)</t>
  </si>
  <si>
    <t>Jewish Professional</t>
  </si>
  <si>
    <t>I was a grammy nominated professional musician in a previous life!</t>
  </si>
  <si>
    <t>berries</t>
  </si>
  <si>
    <t>-</t>
  </si>
  <si>
    <t>Gitnik</t>
  </si>
  <si>
    <t>Greenville</t>
  </si>
  <si>
    <t>SC</t>
  </si>
  <si>
    <t>Gluten-free, Dairy-free</t>
  </si>
  <si>
    <t>Girl Scout camp</t>
  </si>
  <si>
    <t>Shelby Warren</t>
  </si>
  <si>
    <t>Marketing analytics for medical technology company</t>
  </si>
  <si>
    <t>I have a honey collection!</t>
  </si>
  <si>
    <t>Popcorn!</t>
  </si>
  <si>
    <t>Greenberg</t>
  </si>
  <si>
    <t>Camp Cobbossee</t>
  </si>
  <si>
    <t>Young Jewish Charleston Facebook page</t>
  </si>
  <si>
    <t>Ceramic Tile Distributor - Family Business</t>
  </si>
  <si>
    <t>Have a 2 1/2 year old chocolate lab Kobe, got him when he was 8 weeks.</t>
  </si>
  <si>
    <t>Grilled Cheese, Mozzarella Sticks.</t>
  </si>
  <si>
    <t>Grossman</t>
  </si>
  <si>
    <t>PRESALE24</t>
  </si>
  <si>
    <t>Consulting</t>
  </si>
  <si>
    <t>I’ve developed VR apps for fun</t>
  </si>
  <si>
    <t>Chocolate covered espresso beans</t>
  </si>
  <si>
    <t>Work</t>
  </si>
  <si>
    <t>People don't know how high I can jump</t>
  </si>
  <si>
    <t>Still Water</t>
  </si>
  <si>
    <t>Hatfield</t>
  </si>
  <si>
    <t>Not Jewish camps</t>
  </si>
  <si>
    <t>Teacher</t>
  </si>
  <si>
    <t>I climbed the world's highest active volcano</t>
  </si>
  <si>
    <t>Cheetos puffs</t>
  </si>
  <si>
    <t>Jenkins</t>
  </si>
  <si>
    <t>Instagram</t>
  </si>
  <si>
    <t>4H</t>
  </si>
  <si>
    <t>Jennison</t>
  </si>
  <si>
    <t>Isle of palms</t>
  </si>
  <si>
    <t>Dairy-free</t>
  </si>
  <si>
    <t>Mjcca</t>
  </si>
  <si>
    <t>Completely Dairy free</t>
  </si>
  <si>
    <t>Creative director (graphic design)</t>
  </si>
  <si>
    <t>I won a zany brainy shopping spree when I was little. My favorite thing I got was a gameboy color.</t>
  </si>
  <si>
    <t>Cookies</t>
  </si>
  <si>
    <t>Jones</t>
  </si>
  <si>
    <t>DECATUR</t>
  </si>
  <si>
    <t>No red meat</t>
  </si>
  <si>
    <t>My wife/HMI</t>
  </si>
  <si>
    <t>Camp Ocoee, Space Camp</t>
  </si>
  <si>
    <t>Sr. Data Scientist</t>
  </si>
  <si>
    <t>I have a twin brother (not identical)</t>
  </si>
  <si>
    <t>Chocolate covered almonds</t>
  </si>
  <si>
    <t>Kaufman</t>
  </si>
  <si>
    <t>Camp Champions</t>
  </si>
  <si>
    <t>I make scrapbooks</t>
  </si>
  <si>
    <t>Kobylka</t>
  </si>
  <si>
    <t>YJC2ATL</t>
  </si>
  <si>
    <t>Vernon Hills</t>
  </si>
  <si>
    <t>IL</t>
  </si>
  <si>
    <t>gluten-free</t>
  </si>
  <si>
    <t>KKBE, YJC, Chabad Charleston</t>
  </si>
  <si>
    <t>Type 1 Diabetes</t>
  </si>
  <si>
    <t>Lartsin</t>
  </si>
  <si>
    <t>Charleston</t>
  </si>
  <si>
    <t>Dora Golding</t>
  </si>
  <si>
    <t>Google</t>
  </si>
  <si>
    <t>Electrician</t>
  </si>
  <si>
    <t>I am an electrician. Play the drums, like to cook; love outdoors.</t>
  </si>
  <si>
    <t>Potatoes chips and popcorn</t>
  </si>
  <si>
    <t>I'm a cool dude</t>
  </si>
  <si>
    <t>Lathrop</t>
  </si>
  <si>
    <t>Miami Beach</t>
  </si>
  <si>
    <t>FL</t>
  </si>
  <si>
    <t>The logistical truth -- said boyfriend. But looking at the website, it appears to be a fun event and nice community.</t>
  </si>
  <si>
    <t>LivingSocial Summer Camp (as participant 1x), WeWork Summer Camp (as participant 1x)</t>
  </si>
  <si>
    <t>Ideen</t>
  </si>
  <si>
    <t>Done a bunch of stuff (real estate, customer service, sales, hospitality, volunteer coordination). Currently project management at a engineering firm.</t>
  </si>
  <si>
    <t>Visited all 7 continents.</t>
  </si>
  <si>
    <t>All da snacks!</t>
  </si>
  <si>
    <t>Laufer</t>
  </si>
  <si>
    <t>Long Beach</t>
  </si>
  <si>
    <t>CA</t>
  </si>
  <si>
    <t>Vegetarian</t>
  </si>
  <si>
    <t>Temple Beth Emet</t>
  </si>
  <si>
    <t>IT Admin at Academic Institution</t>
  </si>
  <si>
    <t>I've been to 30 countries!</t>
  </si>
  <si>
    <t>Goldfish!</t>
  </si>
  <si>
    <t>Lazarus</t>
  </si>
  <si>
    <t>Camp Bluestar</t>
  </si>
  <si>
    <t>Jaclyn Turner</t>
  </si>
  <si>
    <t>Attorney</t>
  </si>
  <si>
    <t>I love the Golden Girls</t>
  </si>
  <si>
    <t>Milk and cookies</t>
  </si>
  <si>
    <t>Leifer</t>
  </si>
  <si>
    <t>Gluten-free</t>
  </si>
  <si>
    <t>N/A</t>
  </si>
  <si>
    <t>Levine</t>
  </si>
  <si>
    <t>dunwoody</t>
  </si>
  <si>
    <t>chocolate covered pretzels or white cheddar popcorn</t>
  </si>
  <si>
    <t>I'm not a big drinker and it seems like alcohol is a big part of this event so it would be great if there were fun mocktails</t>
  </si>
  <si>
    <t>Ludin</t>
  </si>
  <si>
    <t>Ramah</t>
  </si>
  <si>
    <t>Consultant</t>
  </si>
  <si>
    <t>I met my fiance at Trybal</t>
  </si>
  <si>
    <t>Ginger Ale</t>
  </si>
  <si>
    <t>Martel</t>
  </si>
  <si>
    <t>Peachtree Corners</t>
  </si>
  <si>
    <t>My Husband and Friends</t>
  </si>
  <si>
    <t>work</t>
  </si>
  <si>
    <t>ice cream</t>
  </si>
  <si>
    <t>Michaels</t>
  </si>
  <si>
    <t>JCC Summer Camp- Dayton, OH. Blue Star</t>
  </si>
  <si>
    <t>Makeup artist</t>
  </si>
  <si>
    <t>Started dj’ing all vinyl events before moving to Atlanta in 2023</t>
  </si>
  <si>
    <t>Sunflower seeds and capri sun</t>
  </si>
  <si>
    <t>Mungo</t>
  </si>
  <si>
    <t>29611-5340</t>
  </si>
  <si>
    <t>Osman</t>
  </si>
  <si>
    <t>Brookhaven</t>
  </si>
  <si>
    <t>Vegetarian, Dairy-free</t>
  </si>
  <si>
    <t>Miranda Barzey &amp; Tiffany</t>
  </si>
  <si>
    <t>Data Analyst</t>
  </si>
  <si>
    <t>I alter my clothes and crochet! Also, I'm always on the search for queer community in Atlanta - I've started line dancing and am improving my skills before attending queer line dancing nights!</t>
  </si>
  <si>
    <t xml:space="preserve">I don't do a lot of midnight snacking, but I think my dream midnight snack would be chocolate covered pretzels or brownie brittle.
</t>
  </si>
  <si>
    <t>I'm non-binary and neurodivergent - I love connecting with people but find myself masking a lot or feeling like I have to dull my queerness around new people. I have friends that have attended this event in the past, and I'm excited to be in this space and bring my full self to it.</t>
  </si>
  <si>
    <t>Plavnik</t>
  </si>
  <si>
    <t>TITUSVILLE</t>
  </si>
  <si>
    <t>NJ</t>
  </si>
  <si>
    <t>Scientist</t>
  </si>
  <si>
    <t>I speak Russian</t>
  </si>
  <si>
    <t>Dark Chocolate</t>
  </si>
  <si>
    <t>Reyes</t>
  </si>
  <si>
    <t>David Chanin</t>
  </si>
  <si>
    <t>Health professional</t>
  </si>
  <si>
    <t>I analyze plane crashes</t>
  </si>
  <si>
    <t>Cheese</t>
  </si>
  <si>
    <t>I wish I knew how to play chess</t>
  </si>
  <si>
    <t>Rice</t>
  </si>
  <si>
    <t>Memphis</t>
  </si>
  <si>
    <t>TN</t>
  </si>
  <si>
    <t>Director of Jewish Community Affairs for the Consulate General of Israel to the Southeast U.S.</t>
  </si>
  <si>
    <t>I DJ’d for 6 years!</t>
  </si>
  <si>
    <t>Nachos</t>
  </si>
  <si>
    <t>Looking forward to this experience!</t>
  </si>
  <si>
    <t>Sandy Springs</t>
  </si>
  <si>
    <t>Camp Chingachgook</t>
  </si>
  <si>
    <t>Jewish federation of Charleston SC</t>
  </si>
  <si>
    <t>Senior Garden Educator at The Green Heart Project</t>
  </si>
  <si>
    <t>I do beekeeping!</t>
  </si>
  <si>
    <t>Cheezits or pretzels</t>
  </si>
  <si>
    <t>I love camp!!!!</t>
  </si>
  <si>
    <t>Rogers</t>
  </si>
  <si>
    <t>Marietta</t>
  </si>
  <si>
    <t>Camp Chai, Camp Coleman</t>
  </si>
  <si>
    <t>User Experience Designer</t>
  </si>
  <si>
    <t>I'm in a cornhole league and am really good at it... Can i bring my boards and bags???</t>
  </si>
  <si>
    <t>Chocolate Brownies / Cookies</t>
  </si>
  <si>
    <t>I'm excited!</t>
  </si>
  <si>
    <t>Rosen</t>
  </si>
  <si>
    <t>Dunwoody</t>
  </si>
  <si>
    <t>Camp Horizon</t>
  </si>
  <si>
    <t>Product Surveillance for Surgical Devices</t>
  </si>
  <si>
    <t>I have over 50 pairs of shoes.</t>
  </si>
  <si>
    <t>Fruit Snacks</t>
  </si>
  <si>
    <t>Rosenbaum</t>
  </si>
  <si>
    <t>Birthright coordinator</t>
  </si>
  <si>
    <t>I play in a pickleball league.</t>
  </si>
  <si>
    <t>Soft pretzel</t>
  </si>
  <si>
    <t>Schechter Li</t>
  </si>
  <si>
    <t>Nike Tennis Camp, Cayuga</t>
  </si>
  <si>
    <t>I’ve fostered over 30 foster cats with Atlanta Humane Society</t>
  </si>
  <si>
    <t>Schron</t>
  </si>
  <si>
    <t>Julian Krinsky tennis camp at Haverford College for four summers</t>
  </si>
  <si>
    <t>Product Lead for Data Science</t>
  </si>
  <si>
    <t>I’m half South African!</t>
  </si>
  <si>
    <t>Brownie</t>
  </si>
  <si>
    <t>Love Judaism, my family, and close friends.</t>
  </si>
  <si>
    <t>Shambaugh</t>
  </si>
  <si>
    <t>Tucker</t>
  </si>
  <si>
    <t>Reconstructionist</t>
  </si>
  <si>
    <t>Data Analyst and Jewish Teacher</t>
  </si>
  <si>
    <t>I study Kabbalah and Jewish folk magic!</t>
  </si>
  <si>
    <t>Flamin Hot Cheetos</t>
  </si>
  <si>
    <t>Shartilov</t>
  </si>
  <si>
    <t>Barney</t>
  </si>
  <si>
    <t>Registered nurse</t>
  </si>
  <si>
    <t>I like reality tv</t>
  </si>
  <si>
    <t>I'm cool and fun 😁</t>
  </si>
  <si>
    <t>Tampa</t>
  </si>
  <si>
    <t>Camp alterman</t>
  </si>
  <si>
    <t>Restaurant manager</t>
  </si>
  <si>
    <t>I lift weights</t>
  </si>
  <si>
    <t>Kettle korn</t>
  </si>
  <si>
    <t>Sherman-Jones</t>
  </si>
  <si>
    <t>Columbia</t>
  </si>
  <si>
    <t>Camp Tamarack</t>
  </si>
  <si>
    <t>Communications Manager</t>
  </si>
  <si>
    <t>I used to do improv comedy</t>
  </si>
  <si>
    <t>Snickers</t>
  </si>
  <si>
    <t>Shifrin</t>
  </si>
  <si>
    <t>none</t>
  </si>
  <si>
    <t>Solhtalab</t>
  </si>
  <si>
    <t>Avondale Estates</t>
  </si>
  <si>
    <t>Looks like a fun event with a rich community. And I used to work with Carine @ LivingSocial :-)</t>
  </si>
  <si>
    <t>UVA Summer Enrichment Program (SEP) as a participant2x, LivingSocial Summer Camp as staff (participant 1x, staff 3x)</t>
  </si>
  <si>
    <t>Carine</t>
  </si>
  <si>
    <t>Not working right now; background in consulting, tutoring, events, and ropes courses</t>
  </si>
  <si>
    <t>I'm a licensed skydiver. I also have sugar gliders as pets; as "pocket pets," I *could* actually bring them to camp. People usually get a real kick out of them.</t>
  </si>
  <si>
    <t>Ugh (or should I say "oy vey!"), everything. Trying to *not* eat late at night; but legit, right now, all da foods. Preference for "aussie bites" since they're at least healthier.</t>
  </si>
  <si>
    <t>I'm not Jewish. Actually, I'm not really "religious". My views are very pluralistic and inclusive though; if I *had* to put a label on myself, this most resonates: https://lotus.org/explore/the-all-faiths-yantra</t>
  </si>
  <si>
    <t>Sonnenberg</t>
  </si>
  <si>
    <t>Louise</t>
  </si>
  <si>
    <t>Supply Chain Manager</t>
  </si>
  <si>
    <t>Been to 30+ countries</t>
  </si>
  <si>
    <t>Popcorn</t>
  </si>
  <si>
    <t>Varshavskiy</t>
  </si>
  <si>
    <t>Philadelphia</t>
  </si>
  <si>
    <t>PA</t>
  </si>
  <si>
    <t>Software Engineer</t>
  </si>
  <si>
    <t>I've been to both the north-most and south-most point of the United States!</t>
  </si>
  <si>
    <t>Orange</t>
  </si>
  <si>
    <t>WARREN</t>
  </si>
  <si>
    <t>Tamarack Camp, JCC Day Camp, Camp Merr-Mac</t>
  </si>
  <si>
    <t>Film Production Coordinator &amp; Small Business Owner</t>
  </si>
  <si>
    <t>I sparkle people! (Fairy Hair)</t>
  </si>
  <si>
    <t>Ice cream</t>
  </si>
  <si>
    <t>Excited to go back to camp! 🏕️</t>
  </si>
  <si>
    <t>Yordon</t>
  </si>
  <si>
    <t>Human Resources</t>
  </si>
  <si>
    <t>Played clarinet in college marching band</t>
  </si>
  <si>
    <t>Haskal</t>
  </si>
  <si>
    <t>YMCA</t>
  </si>
  <si>
    <t>Bahareh Aghajani</t>
  </si>
  <si>
    <t>Business Owner</t>
  </si>
  <si>
    <t>I love to cook</t>
  </si>
  <si>
    <t>Here for a memorable experience!</t>
  </si>
  <si>
    <t>Barrow</t>
  </si>
  <si>
    <t>No beef/pork</t>
  </si>
  <si>
    <t>Camp Evergreen (as camper), Pine Forest (as counselor)</t>
  </si>
  <si>
    <t>Rieder</t>
  </si>
  <si>
    <t>Aventura</t>
  </si>
  <si>
    <t>Elizabeth Schechter</t>
  </si>
  <si>
    <t>Garber</t>
  </si>
  <si>
    <t>Jordan Laufer</t>
  </si>
  <si>
    <t>Poker Player</t>
  </si>
  <si>
    <t>Big into bodybuilding and nutrition</t>
  </si>
  <si>
    <t>A handful of shredded cheese right from the bag, bonus points if I look like a goblin from getting out of bed at midnight</t>
  </si>
  <si>
    <t>$8 in "processing fees" is nuts u feel me lmao</t>
  </si>
  <si>
    <t>Steingold</t>
  </si>
  <si>
    <t>Camp Coleman, In the City Camp</t>
  </si>
  <si>
    <t>CTeen</t>
  </si>
  <si>
    <t>Sales for Yom Ice Cream Company</t>
  </si>
  <si>
    <t>Fluent in French</t>
  </si>
  <si>
    <t>Machluf</t>
  </si>
  <si>
    <t>Camp Gan Israel in Ft. Lauderdale/Sunrise FL</t>
  </si>
  <si>
    <t>College professor</t>
  </si>
  <si>
    <t>I recently rediscovered my love for reading and it’s my favorite thing to do to escape reality</t>
  </si>
  <si>
    <t>Israeli olives</t>
  </si>
  <si>
    <t>Sellers</t>
  </si>
  <si>
    <t>My wife is Israeli and Jewish, and she’s attending. We’re culturally Jewish in our home with our family.</t>
  </si>
  <si>
    <t>Karin Machluf</t>
  </si>
  <si>
    <t>I threw discus and javelin in college</t>
  </si>
  <si>
    <t>7/4/24 17:30</t>
  </si>
  <si>
    <t>Turner</t>
  </si>
  <si>
    <t>Somerdale</t>
  </si>
  <si>
    <t>ramah darom, camp barney</t>
  </si>
  <si>
    <t>Journalist</t>
  </si>
  <si>
    <t>My favorite way to travel is cruises</t>
  </si>
  <si>
    <t>7/4/24 20:36</t>
  </si>
  <si>
    <t>Stronen</t>
  </si>
  <si>
    <t>Vegan, Kosher, Gluten-free, Dairy-free</t>
  </si>
  <si>
    <t>Lead Electrical Engineer</t>
  </si>
  <si>
    <t>I recently won a pickleball tournament.</t>
  </si>
  <si>
    <t>Honey crisp Apples</t>
  </si>
  <si>
    <t>Deutsch</t>
  </si>
  <si>
    <t>Camp Nebagamon</t>
  </si>
  <si>
    <t>Data Consultant</t>
  </si>
  <si>
    <t>I was a (re)founding father of my campus’s AEPi chapter.</t>
  </si>
  <si>
    <t>A little bit of ice cream</t>
  </si>
  <si>
    <t>I was a camp counselor for five summers.</t>
  </si>
  <si>
    <t>Krupp</t>
  </si>
  <si>
    <t>Sandy springs</t>
  </si>
  <si>
    <t>Camp Blue Star</t>
  </si>
  <si>
    <t>Tech Sales</t>
  </si>
  <si>
    <t>I have a dog named Ginger who looks like a 🦊</t>
  </si>
  <si>
    <t>Deli meat turkey roll ups with cheese</t>
  </si>
  <si>
    <t>I’m excited for pickleball</t>
  </si>
  <si>
    <t>Raileanu</t>
  </si>
  <si>
    <t>LaGrange</t>
  </si>
  <si>
    <t>OSRUI</t>
  </si>
  <si>
    <t>A cousin</t>
  </si>
  <si>
    <t>Customer Service</t>
  </si>
  <si>
    <t>Katler</t>
  </si>
  <si>
    <t>QUINN2ATL</t>
  </si>
  <si>
    <t>NA</t>
  </si>
  <si>
    <t>Lillia Prager</t>
  </si>
  <si>
    <t>Doctor</t>
  </si>
  <si>
    <t>I went to med school in Tel Aviv</t>
  </si>
  <si>
    <t>Date</t>
  </si>
  <si>
    <t>Field Name</t>
  </si>
  <si>
    <t>Description</t>
  </si>
  <si>
    <t>Data Type</t>
  </si>
  <si>
    <t>Possible Values / Notes</t>
  </si>
  <si>
    <t>The camp the attendee is registering for</t>
  </si>
  <si>
    <t>Text</t>
  </si>
  <si>
    <t>e.g., Berkshires, SoCal, Midwest, Day Camp</t>
  </si>
  <si>
    <t>Unique identifier for the registration record</t>
  </si>
  <si>
    <t>Text / Numeric</t>
  </si>
  <si>
    <t>Unique per registration</t>
  </si>
  <si>
    <t>Date the registration was submitted</t>
  </si>
  <si>
    <t>YYYY-MM-DD</t>
  </si>
  <si>
    <t>Attendee’s last name</t>
  </si>
  <si>
    <t>Number of tickets purchased for this registration</t>
  </si>
  <si>
    <t>Numeric</t>
  </si>
  <si>
    <t>Discount or promotional code applied</t>
  </si>
  <si>
    <t>Optional</t>
  </si>
  <si>
    <t>Total revenue generated by this registration</t>
  </si>
  <si>
    <t>Total amount paid by the registrant</t>
  </si>
  <si>
    <t>Currency</t>
  </si>
  <si>
    <t>Additional processing or service fees applied</t>
  </si>
  <si>
    <t>Attendee’s gender</t>
  </si>
  <si>
    <t>Male, Female, Non-binary, Prefer not to say</t>
  </si>
  <si>
    <t>Attendee’s date of birth</t>
  </si>
  <si>
    <t>Attendee’s age at registration</t>
  </si>
  <si>
    <t>City of the attendee</t>
  </si>
  <si>
    <t>State or province of the attendee</t>
  </si>
  <si>
    <t>Postal code</t>
  </si>
  <si>
    <t>Country of residence</t>
  </si>
  <si>
    <t>Confirmation that all attendees are 21+ and will bring ID</t>
  </si>
  <si>
    <t>Boolean / Text</t>
  </si>
  <si>
    <t>Yes / No</t>
  </si>
  <si>
    <t>Attendee’s t-shirt size</t>
  </si>
  <si>
    <t>XS, S, M, L, XL</t>
  </si>
  <si>
    <t>Indicates if attendee has dietary restrictions</t>
  </si>
  <si>
    <t>Text / Boolean</t>
  </si>
  <si>
    <t>None / Yes</t>
  </si>
  <si>
    <t>Explanation of dietary restrictions</t>
  </si>
  <si>
    <t>Attendee’s cabin preference</t>
  </si>
  <si>
    <t>Indicates if attendee has a roommate request</t>
  </si>
  <si>
    <t>Full name of requested roommate</t>
  </si>
  <si>
    <t>Bunkmate requests</t>
  </si>
  <si>
    <t>Attendee’s Jewish background</t>
  </si>
  <si>
    <t>Reason for attending Trybal</t>
  </si>
  <si>
    <t>Open-ended</t>
  </si>
  <si>
    <t>Previous attendance at Trybal camps</t>
  </si>
  <si>
    <t>Boolean</t>
  </si>
  <si>
    <t>Previous attendance at Trybal events</t>
  </si>
  <si>
    <t>Previous attendance at Ambassador events</t>
  </si>
  <si>
    <t>Indicates if this is the first Trybal experience</t>
  </si>
  <si>
    <t>Attended Berkshires 2017 camp</t>
  </si>
  <si>
    <t>Attended Berkshires 2018 camp</t>
  </si>
  <si>
    <t>Attended Berkshires 2019 camp</t>
  </si>
  <si>
    <t>Attended Berkshires 2021 camp</t>
  </si>
  <si>
    <t>Attended Berkshires 2022 Session 1 camp</t>
  </si>
  <si>
    <t>Attended Berkshires 2022 Session 2 camp</t>
  </si>
  <si>
    <t>Attended Berkshires 2023 Session 1 camp</t>
  </si>
  <si>
    <t>Attended Berkshires 2023 Session 2 camp</t>
  </si>
  <si>
    <t>Attended SoCal 2017 camp</t>
  </si>
  <si>
    <t>Attended SoCal 2018 camp</t>
  </si>
  <si>
    <t>Attended SoCal 2019 camp</t>
  </si>
  <si>
    <t>Attended SoCal 2021 camp</t>
  </si>
  <si>
    <t>Attended SoCal 2022 camp</t>
  </si>
  <si>
    <t>Attended SoCal 2023 camp</t>
  </si>
  <si>
    <t>Attended Midwest 2018 camp</t>
  </si>
  <si>
    <t>Attended Midwest 2019 camp</t>
  </si>
  <si>
    <t>Attended Midwest 2022 camp</t>
  </si>
  <si>
    <t>Attended Midwest 2023 camp</t>
  </si>
  <si>
    <t>Attended Chicago Day Camp 2021</t>
  </si>
  <si>
    <t>Attended Chicago Day Camp 2023</t>
  </si>
  <si>
    <t>Attended Seattle Day Camp 2021</t>
  </si>
  <si>
    <t>Attended Atlanta Day Camp 2021</t>
  </si>
  <si>
    <t>Attended South 2022 camp</t>
  </si>
  <si>
    <t>Attended LA Day Camp 2022</t>
  </si>
  <si>
    <t>Attended LA Day Camp 2023</t>
  </si>
  <si>
    <t>Source of referral / how attendee heard about Trybal</t>
  </si>
  <si>
    <t>e.g., Alum, Social Media, Friend, Email</t>
  </si>
  <si>
    <t>Playground Pivot – Drag fields to analyze data</t>
  </si>
  <si>
    <t>Row Labels</t>
  </si>
  <si>
    <t>Grand Total</t>
  </si>
  <si>
    <t>Count of Registrations</t>
  </si>
  <si>
    <t>Revenue by Camp</t>
  </si>
  <si>
    <t>Revenue Sum</t>
  </si>
  <si>
    <t>Total Paid Sum</t>
  </si>
  <si>
    <t>Processing &amp; Fees Sum</t>
  </si>
  <si>
    <t>Camp by Age (Counts)</t>
  </si>
  <si>
    <t>33</t>
  </si>
  <si>
    <t>37</t>
  </si>
  <si>
    <t>39</t>
  </si>
  <si>
    <t>36</t>
  </si>
  <si>
    <t>30</t>
  </si>
  <si>
    <t>28</t>
  </si>
  <si>
    <t>35</t>
  </si>
  <si>
    <t>25</t>
  </si>
  <si>
    <t>27</t>
  </si>
  <si>
    <t>34</t>
  </si>
  <si>
    <t>29</t>
  </si>
  <si>
    <t>41</t>
  </si>
  <si>
    <t>31</t>
  </si>
  <si>
    <t>26</t>
  </si>
  <si>
    <t>38</t>
  </si>
  <si>
    <t>32</t>
  </si>
  <si>
    <t>40</t>
  </si>
  <si>
    <t>22</t>
  </si>
  <si>
    <t>Background by Camp</t>
  </si>
  <si>
    <t>Previously Attended Camps</t>
  </si>
  <si>
    <t>Berkshires 2017</t>
  </si>
  <si>
    <t>Berkshires 2018</t>
  </si>
  <si>
    <t>Berkshires 2019</t>
  </si>
  <si>
    <t>Berkshires 2021</t>
  </si>
  <si>
    <t>Berkshires 2022 Session 1</t>
  </si>
  <si>
    <t>Berkshires 2022 Session 2</t>
  </si>
  <si>
    <t>Berkshires 2023 Session 1</t>
  </si>
  <si>
    <t>Berkshires 2023 Session 2</t>
  </si>
  <si>
    <t>SoCal 2017</t>
  </si>
  <si>
    <t>SoCal 2018</t>
  </si>
  <si>
    <t>SoCal 2019</t>
  </si>
  <si>
    <t>SoCal 2021</t>
  </si>
  <si>
    <t>SoCal 2022</t>
  </si>
  <si>
    <t>SoCal 2023</t>
  </si>
  <si>
    <t>Midwest 2018</t>
  </si>
  <si>
    <t>Midwest 2019</t>
  </si>
  <si>
    <t>Midwest 2022</t>
  </si>
  <si>
    <t>Midwest 2023</t>
  </si>
  <si>
    <t>Chicago Day Camp 2021</t>
  </si>
  <si>
    <t>Chicago Day Camp 2023</t>
  </si>
  <si>
    <t>Seattle Day Camp 2021</t>
  </si>
  <si>
    <t>Atlanta Day Camp 2021</t>
  </si>
  <si>
    <t>South 2022</t>
  </si>
  <si>
    <t>LA Day Camp 2022</t>
  </si>
  <si>
    <t>LA Day Camp 2023</t>
  </si>
  <si>
    <t>Dashboard generated February 23, 2026</t>
  </si>
  <si>
    <t>Mac Users: You may need to right click on tables in order to see data after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</si>
</sst>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i/>
      <sz val="18"/>
      <color rgb="FF000000"/>
      <name val="Arial"/>
      <family val="2"/>
      <scheme val="minor"/>
    </font>
    <font>
      <b/>
      <i/>
      <sz val="12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pivotButton="1"/>
    <xf numFmtId="164" fontId="0" fillId="0" borderId="0" xfId="0" applyNumberFormat="1"/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2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0" fillId="0" borderId="0" xfId="0" applyNumberFormat="1"/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1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Camp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tables'!$B$2</c:f>
              <c:strCache>
                <c:ptCount val="1"/>
                <c:pt idx="0">
                  <c:v>Revenue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tables'!$B$3</c:f>
              <c:numCache>
                <c:formatCode>"$"#,##0.00</c:formatCode>
                <c:ptCount val="1"/>
                <c:pt idx="0">
                  <c:v>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B-054D-A42F-12540193604B}"/>
            </c:ext>
          </c:extLst>
        </c:ser>
        <c:ser>
          <c:idx val="1"/>
          <c:order val="1"/>
          <c:tx>
            <c:strRef>
              <c:f>'Summary tables'!$C$2</c:f>
              <c:strCache>
                <c:ptCount val="1"/>
                <c:pt idx="0">
                  <c:v>Total Paid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tables'!$C$3</c:f>
              <c:numCache>
                <c:formatCode>"$"#,##0.00</c:formatCode>
                <c:ptCount val="1"/>
                <c:pt idx="0">
                  <c:v>8634.4299999999985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B-054D-A42F-12540193604B}"/>
            </c:ext>
          </c:extLst>
        </c:ser>
        <c:ser>
          <c:idx val="2"/>
          <c:order val="2"/>
          <c:tx>
            <c:strRef>
              <c:f>'Summary tables'!$D$2</c:f>
              <c:strCache>
                <c:ptCount val="1"/>
                <c:pt idx="0">
                  <c:v>Processing &amp; Fees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tables'!$D$3</c:f>
              <c:numCache>
                <c:formatCode>"$"#,##0.00</c:formatCode>
                <c:ptCount val="1"/>
                <c:pt idx="0">
                  <c:v>474.45000000000005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B-054D-A42F-125401936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1365568"/>
        <c:axId val="611367360"/>
      </c:barChart>
      <c:catAx>
        <c:axId val="61136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1367360"/>
        <c:crosses val="autoZero"/>
        <c:auto val="1"/>
        <c:lblAlgn val="ctr"/>
        <c:lblOffset val="100"/>
        <c:noMultiLvlLbl val="0"/>
      </c:catAx>
      <c:valAx>
        <c:axId val="611367360"/>
        <c:scaling>
          <c:orientation val="minMax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611365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 by Age Counts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Atlanta</c:v>
          </c:tx>
          <c:marker>
            <c:symbol val="none"/>
          </c:marker>
          <c:cat>
            <c:strRef>
              <c:f>'Summary tables'!$B$8:$S$8</c:f>
              <c:strCache>
                <c:ptCount val="18"/>
                <c:pt idx="0">
                  <c:v>33</c:v>
                </c:pt>
                <c:pt idx="1">
                  <c:v>37</c:v>
                </c:pt>
                <c:pt idx="2">
                  <c:v>39</c:v>
                </c:pt>
                <c:pt idx="3">
                  <c:v>36</c:v>
                </c:pt>
                <c:pt idx="4">
                  <c:v>30</c:v>
                </c:pt>
                <c:pt idx="5">
                  <c:v>28</c:v>
                </c:pt>
                <c:pt idx="6">
                  <c:v>35</c:v>
                </c:pt>
                <c:pt idx="7">
                  <c:v>25</c:v>
                </c:pt>
                <c:pt idx="8">
                  <c:v>27</c:v>
                </c:pt>
                <c:pt idx="9">
                  <c:v>34</c:v>
                </c:pt>
                <c:pt idx="10">
                  <c:v>29</c:v>
                </c:pt>
                <c:pt idx="11">
                  <c:v>41</c:v>
                </c:pt>
                <c:pt idx="12">
                  <c:v>31</c:v>
                </c:pt>
                <c:pt idx="13">
                  <c:v>26</c:v>
                </c:pt>
                <c:pt idx="14">
                  <c:v>38</c:v>
                </c:pt>
                <c:pt idx="15">
                  <c:v>32</c:v>
                </c:pt>
                <c:pt idx="16">
                  <c:v>40</c:v>
                </c:pt>
                <c:pt idx="17">
                  <c:v>22</c:v>
                </c:pt>
              </c:strCache>
            </c:strRef>
          </c:cat>
          <c:val>
            <c:numRef>
              <c:f>'Summary tables'!$B$9:$S$9</c:f>
              <c:numCache>
                <c:formatCode>General</c:formatCode>
                <c:ptCount val="18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1-5240-B7DD-A78771A1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813376"/>
        <c:axId val="457815168"/>
      </c:lineChart>
      <c:catAx>
        <c:axId val="45781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815168"/>
        <c:crosses val="autoZero"/>
        <c:auto val="1"/>
        <c:lblAlgn val="ctr"/>
        <c:lblOffset val="100"/>
        <c:noMultiLvlLbl val="0"/>
      </c:catAx>
      <c:valAx>
        <c:axId val="45781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 of Campers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813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Background by Camp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tables'!$B$14</c:f>
              <c:strCache>
                <c:ptCount val="1"/>
                <c:pt idx="0">
                  <c:v>I'm not Jewish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tables'!$B$15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F-F043-94A0-25A23294865B}"/>
            </c:ext>
          </c:extLst>
        </c:ser>
        <c:ser>
          <c:idx val="1"/>
          <c:order val="1"/>
          <c:tx>
            <c:strRef>
              <c:f>'Summary tables'!$C$14</c:f>
              <c:strCache>
                <c:ptCount val="1"/>
                <c:pt idx="0">
                  <c:v>Just Jewish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tables'!$C$15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F-F043-94A0-25A23294865B}"/>
            </c:ext>
          </c:extLst>
        </c:ser>
        <c:ser>
          <c:idx val="2"/>
          <c:order val="2"/>
          <c:tx>
            <c:strRef>
              <c:f>'Summary tables'!$D$14</c:f>
              <c:strCache>
                <c:ptCount val="1"/>
                <c:pt idx="0">
                  <c:v>Reform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tables'!$D$15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F-F043-94A0-25A23294865B}"/>
            </c:ext>
          </c:extLst>
        </c:ser>
        <c:ser>
          <c:idx val="3"/>
          <c:order val="3"/>
          <c:tx>
            <c:strRef>
              <c:f>'Summary tables'!$E$14</c:f>
              <c:strCache>
                <c:ptCount val="1"/>
                <c:pt idx="0">
                  <c:v>Conservative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tables'!$E$15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F-F043-94A0-25A23294865B}"/>
            </c:ext>
          </c:extLst>
        </c:ser>
        <c:ser>
          <c:idx val="4"/>
          <c:order val="4"/>
          <c:tx>
            <c:strRef>
              <c:f>'Summary tables'!$F$14</c:f>
              <c:strCache>
                <c:ptCount val="1"/>
                <c:pt idx="0">
                  <c:v>Culturally Jewish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tables'!$F$15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F-F043-94A0-25A23294865B}"/>
            </c:ext>
          </c:extLst>
        </c:ser>
        <c:ser>
          <c:idx val="5"/>
          <c:order val="5"/>
          <c:tx>
            <c:strRef>
              <c:f>'Summary tables'!$G$14</c:f>
              <c:strCache>
                <c:ptCount val="1"/>
                <c:pt idx="0">
                  <c:v>Reconstructionist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Atlanta</c:v>
                </c:pt>
              </c:strCache>
            </c:strRef>
          </c:cat>
          <c:val>
            <c:numRef>
              <c:f>'Summary tables'!$G$15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F-F043-94A0-25A232948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7613184"/>
        <c:axId val="457614976"/>
      </c:barChart>
      <c:catAx>
        <c:axId val="45761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7614976"/>
        <c:crosses val="autoZero"/>
        <c:auto val="1"/>
        <c:lblAlgn val="ctr"/>
        <c:lblOffset val="100"/>
        <c:noMultiLvlLbl val="0"/>
      </c:catAx>
      <c:valAx>
        <c:axId val="4576149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457613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Camps Attended Before by Camp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tables'!$A$21</c:f>
              <c:strCache>
                <c:ptCount val="1"/>
                <c:pt idx="0">
                  <c:v>Atlanta</c:v>
                </c:pt>
              </c:strCache>
            </c:strRef>
          </c:tx>
          <c:invertIfNegative val="0"/>
          <c:cat>
            <c:strRef>
              <c:f>'Summary tables'!$B$20:$Z$20</c:f>
              <c:strCache>
                <c:ptCount val="25"/>
                <c:pt idx="0">
                  <c:v>Berkshires 2017</c:v>
                </c:pt>
                <c:pt idx="1">
                  <c:v>Berkshires 2018</c:v>
                </c:pt>
                <c:pt idx="2">
                  <c:v>Berkshires 2019</c:v>
                </c:pt>
                <c:pt idx="3">
                  <c:v>Berkshires 2021</c:v>
                </c:pt>
                <c:pt idx="4">
                  <c:v>Berkshires 2022 Session 1</c:v>
                </c:pt>
                <c:pt idx="5">
                  <c:v>Berkshires 2022 Session 2</c:v>
                </c:pt>
                <c:pt idx="6">
                  <c:v>Berkshires 2023 Session 1</c:v>
                </c:pt>
                <c:pt idx="7">
                  <c:v>Berkshires 2023 Session 2</c:v>
                </c:pt>
                <c:pt idx="8">
                  <c:v>SoCal 2017</c:v>
                </c:pt>
                <c:pt idx="9">
                  <c:v>SoCal 2018</c:v>
                </c:pt>
                <c:pt idx="10">
                  <c:v>SoCal 2019</c:v>
                </c:pt>
                <c:pt idx="11">
                  <c:v>SoCal 2021</c:v>
                </c:pt>
                <c:pt idx="12">
                  <c:v>SoCal 2022</c:v>
                </c:pt>
                <c:pt idx="13">
                  <c:v>SoCal 2023</c:v>
                </c:pt>
                <c:pt idx="14">
                  <c:v>Midwest 2018</c:v>
                </c:pt>
                <c:pt idx="15">
                  <c:v>Midwest 2019</c:v>
                </c:pt>
                <c:pt idx="16">
                  <c:v>Midwest 2022</c:v>
                </c:pt>
                <c:pt idx="17">
                  <c:v>Midwest 2023</c:v>
                </c:pt>
                <c:pt idx="18">
                  <c:v>Chicago Day Camp 2021</c:v>
                </c:pt>
                <c:pt idx="19">
                  <c:v>Chicago Day Camp 2023</c:v>
                </c:pt>
                <c:pt idx="20">
                  <c:v>Seattle Day Camp 2021</c:v>
                </c:pt>
                <c:pt idx="21">
                  <c:v>Atlanta Day Camp 2021</c:v>
                </c:pt>
                <c:pt idx="22">
                  <c:v>South 2022</c:v>
                </c:pt>
                <c:pt idx="23">
                  <c:v>LA Day Camp 2022</c:v>
                </c:pt>
                <c:pt idx="24">
                  <c:v>LA Day Camp 2023</c:v>
                </c:pt>
              </c:strCache>
            </c:strRef>
          </c:cat>
          <c:val>
            <c:numRef>
              <c:f>'Summary tables'!$B$21:$Z$21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10</c:v>
                </c:pt>
                <c:pt idx="22">
                  <c:v>6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1-9548-85E3-20DD45F0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4001536"/>
        <c:axId val="604003328"/>
      </c:barChart>
      <c:catAx>
        <c:axId val="604001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4003328"/>
        <c:crosses val="autoZero"/>
        <c:auto val="1"/>
        <c:lblAlgn val="ctr"/>
        <c:lblOffset val="100"/>
        <c:noMultiLvlLbl val="0"/>
      </c:catAx>
      <c:valAx>
        <c:axId val="60400332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04001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g"/><Relationship Id="rId5" Type="http://schemas.openxmlformats.org/officeDocument/2006/relationships/hyperlink" Target="https://www.trybalgatherings.com/" TargetMode="Externa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6</xdr:row>
      <xdr:rowOff>25400</xdr:rowOff>
    </xdr:from>
    <xdr:to>
      <xdr:col>6</xdr:col>
      <xdr:colOff>469900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D69B7-651C-9C76-5EAE-FAC1A06E0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723900</xdr:colOff>
      <xdr:row>6</xdr:row>
      <xdr:rowOff>25400</xdr:rowOff>
    </xdr:from>
    <xdr:to>
      <xdr:col>18</xdr:col>
      <xdr:colOff>393700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99BD61-F0D6-C6AD-17A7-FCFA56731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635000</xdr:colOff>
      <xdr:row>34</xdr:row>
      <xdr:rowOff>101600</xdr:rowOff>
    </xdr:from>
    <xdr:to>
      <xdr:col>18</xdr:col>
      <xdr:colOff>393700</xdr:colOff>
      <xdr:row>65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8D11E7-BCD9-CE46-4BCA-4BD45E88D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635000</xdr:colOff>
      <xdr:row>66</xdr:row>
      <xdr:rowOff>152400</xdr:rowOff>
    </xdr:from>
    <xdr:to>
      <xdr:col>19</xdr:col>
      <xdr:colOff>190500</xdr:colOff>
      <xdr:row>97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286DFD-9673-492D-E0B2-593FFF50F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25400</xdr:rowOff>
    </xdr:from>
    <xdr:to>
      <xdr:col>3</xdr:col>
      <xdr:colOff>254000</xdr:colOff>
      <xdr:row>5</xdr:row>
      <xdr:rowOff>12700</xdr:rowOff>
    </xdr:to>
    <xdr:pic>
      <xdr:nvPicPr>
        <xdr:cNvPr id="7" name="TrybalLogo_Ma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5896A8-0110-E699-1C46-0430ECDF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400"/>
          <a:ext cx="2654300" cy="97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8</xdr:col>
      <xdr:colOff>762000</xdr:colOff>
      <xdr:row>4</xdr:row>
      <xdr:rowOff>38100</xdr:rowOff>
    </xdr:to>
    <xdr:sp macro="" textlink="">
      <xdr:nvSpPr>
        <xdr:cNvPr id="2" name="PivotHelpBox">
          <a:extLst>
            <a:ext uri="{FF2B5EF4-FFF2-40B4-BE49-F238E27FC236}">
              <a16:creationId xmlns:a16="http://schemas.microsoft.com/office/drawing/2014/main" id="{7F53A73D-D0BD-7C34-3DE9-AF108CC6D55B}"/>
            </a:ext>
          </a:extLst>
        </xdr:cNvPr>
        <xdr:cNvSpPr txBox="1"/>
      </xdr:nvSpPr>
      <xdr:spPr>
        <a:xfrm>
          <a:off x="7213600" y="0"/>
          <a:ext cx="4064000" cy="762000"/>
        </a:xfrm>
        <a:prstGeom prst="rect">
          <a:avLst/>
        </a:prstGeom>
        <a:solidFill>
          <a:srgbClr val="FFF2CC"/>
        </a:solidFill>
        <a:ln w="9525" cmpd="sng">
          <a:solidFill>
            <a:srgbClr val="BF9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400" b="1"/>
            <a:t>Tip: Right-click inside the PivotTable and select 'Show Field List' to add or change fields.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lel Morris" refreshedDate="46076.483528819444" createdVersion="8" refreshedVersion="8" minRefreshableVersion="3" recordCount="66" xr:uid="{8B9752F9-E4BB-7A46-A69F-2ED67043D7DE}">
  <cacheSource type="worksheet">
    <worksheetSource ref="A1:CF67" sheet="Data"/>
  </cacheSource>
  <cacheFields count="84">
    <cacheField name="Camp" numFmtId="0">
      <sharedItems count="1">
        <s v="Atlanta"/>
      </sharedItems>
    </cacheField>
    <cacheField name="Registration ID" numFmtId="0">
      <sharedItems containsSemiMixedTypes="0" containsString="0" containsNumber="1" containsInteger="1" minValue="46908735" maxValue="50223659"/>
    </cacheField>
    <cacheField name="Registration Date" numFmtId="0">
      <sharedItems containsDate="1" containsMixedTypes="1" minDate="2024-03-25T13:47:00" maxDate="2024-07-08T13:14:00"/>
    </cacheField>
    <cacheField name="Name (Last Name)" numFmtId="0">
      <sharedItems/>
    </cacheField>
    <cacheField name="Tickets" numFmtId="0">
      <sharedItems/>
    </cacheField>
    <cacheField name="Coupon Code (Code)" numFmtId="0">
      <sharedItems containsBlank="1"/>
    </cacheField>
    <cacheField name="Revenue" numFmtId="164">
      <sharedItems containsSemiMixedTypes="0" containsString="0" containsNumber="1" containsInteger="1" minValue="99" maxValue="149"/>
    </cacheField>
    <cacheField name="Total Paid ($ Amount)" numFmtId="164">
      <sharedItems containsSemiMixedTypes="0" containsString="0" containsNumber="1" minValue="0" maxValue="314.16000000000003"/>
    </cacheField>
    <cacheField name="Processing &amp; Fees ($ Amount)" numFmtId="164">
      <sharedItems containsSemiMixedTypes="0" containsString="0" containsNumber="1" minValue="0" maxValue="16.16"/>
    </cacheField>
    <cacheField name="Gender" numFmtId="0">
      <sharedItems/>
    </cacheField>
    <cacheField name="Date of Birth" numFmtId="0">
      <sharedItems containsSemiMixedTypes="0" containsNonDate="0" containsDate="1" containsString="0" minDate="1983-03-20T00:00:00" maxDate="2002-04-30T00:00:00"/>
    </cacheField>
    <cacheField name="Age" numFmtId="0">
      <sharedItems containsSemiMixedTypes="0" containsString="0" containsNumber="1" containsInteger="1" minValue="22" maxValue="41"/>
    </cacheField>
    <cacheField name="Address (City)" numFmtId="0">
      <sharedItems/>
    </cacheField>
    <cacheField name="Address (State)" numFmtId="0">
      <sharedItems/>
    </cacheField>
    <cacheField name="Address (ZIP/Postal Code)" numFmtId="0">
      <sharedItems containsMixedTypes="1" containsNumber="1" containsInteger="1" minValue="8083" maxValue="90804"/>
    </cacheField>
    <cacheField name="Address (Country)" numFmtId="0">
      <sharedItems/>
    </cacheField>
    <cacheField name="I confirm that all attendees registered under this order are over the age of 21 and will bring proof of age (government-issued Photo ID) to check-in at camp." numFmtId="0">
      <sharedItems/>
    </cacheField>
    <cacheField name="T-Shirt Size" numFmtId="0">
      <sharedItems/>
    </cacheField>
    <cacheField name="Do you have any dietary restrictions? (None)" numFmtId="0">
      <sharedItems/>
    </cacheField>
    <cacheField name="Please explain" numFmtId="0">
      <sharedItems containsBlank="1"/>
    </cacheField>
    <cacheField name="Do you have a cabin preference?" numFmtId="0">
      <sharedItems containsNonDate="0" containsString="0" containsBlank="1"/>
    </cacheField>
    <cacheField name="Do you have a roommate request?" numFmtId="0">
      <sharedItems containsBlank="1"/>
    </cacheField>
    <cacheField name="Please list their full name" numFmtId="0">
      <sharedItems containsNonDate="0" containsString="0" containsBlank="1"/>
    </cacheField>
    <cacheField name="Do you have any bunkmate requests? Please list their name(s)" numFmtId="0">
      <sharedItems containsNonDate="0" containsString="0" containsBlank="1"/>
    </cacheField>
    <cacheField name="What's your Jewish background?" numFmtId="0">
      <sharedItems/>
    </cacheField>
    <cacheField name="What brings you to Trybal?" numFmtId="0">
      <sharedItems containsBlank="1"/>
    </cacheField>
    <cacheField name="Have you attended any Trybal Gatherings events in the past? (Yes, Trybal camps)" numFmtId="0">
      <sharedItems containsBlank="1"/>
    </cacheField>
    <cacheField name="Have you attended any Trybal Gatherings events in the past? (Yes, Trybal events)" numFmtId="0">
      <sharedItems containsBlank="1"/>
    </cacheField>
    <cacheField name="Have you attended any Trybal Gatherings events in the past? (Yes, Ambassador events)" numFmtId="0">
      <sharedItems containsNonDate="0" containsString="0" containsBlank="1"/>
    </cacheField>
    <cacheField name="Is this your first time at a Trybal Gathering experience?" numFmtId="0">
      <sharedItems containsBlank="1"/>
    </cacheField>
    <cacheField name="Which camps? (Berkshires 2017)" numFmtId="0">
      <sharedItems containsNonDate="0" containsString="0" containsBlank="1"/>
    </cacheField>
    <cacheField name="Which camps? (Berkshires 2018)" numFmtId="0">
      <sharedItems containsNonDate="0" containsString="0" containsBlank="1"/>
    </cacheField>
    <cacheField name="Which camps? (Berkshires 2019)" numFmtId="0">
      <sharedItems containsNonDate="0" containsString="0" containsBlank="1"/>
    </cacheField>
    <cacheField name="Which camps? (Berkshires 2021)" numFmtId="0">
      <sharedItems containsNonDate="0" containsString="0" containsBlank="1"/>
    </cacheField>
    <cacheField name="Which camps? (Berkshires 2022 Session 1)" numFmtId="0">
      <sharedItems containsNonDate="0" containsString="0" containsBlank="1"/>
    </cacheField>
    <cacheField name="Which camps? (Berkshires 2022 Session 2)" numFmtId="0">
      <sharedItems containsNonDate="0" containsString="0" containsBlank="1"/>
    </cacheField>
    <cacheField name="Which camps? (Berkshires 2023 Session 1)" numFmtId="0">
      <sharedItems containsBlank="1"/>
    </cacheField>
    <cacheField name="Which camps? (Berkshires 2023 Session 2)" numFmtId="0">
      <sharedItems containsBlank="1"/>
    </cacheField>
    <cacheField name="Which camps? (SoCal 2017)" numFmtId="0">
      <sharedItems containsNonDate="0" containsString="0" containsBlank="1"/>
    </cacheField>
    <cacheField name="Which camps? (SoCal 2018)" numFmtId="0">
      <sharedItems containsNonDate="0" containsString="0" containsBlank="1"/>
    </cacheField>
    <cacheField name="Which camps? (SoCal 2019)" numFmtId="0">
      <sharedItems containsNonDate="0" containsString="0" containsBlank="1"/>
    </cacheField>
    <cacheField name="Which camps? (SoCal 2021)" numFmtId="0">
      <sharedItems containsNonDate="0" containsString="0" containsBlank="1"/>
    </cacheField>
    <cacheField name="Which camps? (SoCal 2022)" numFmtId="0">
      <sharedItems containsNonDate="0" containsString="0" containsBlank="1"/>
    </cacheField>
    <cacheField name="Which camps? (SoCal 2023)" numFmtId="0">
      <sharedItems containsNonDate="0" containsString="0" containsBlank="1"/>
    </cacheField>
    <cacheField name="Which camps? (Midwest 2018)" numFmtId="0">
      <sharedItems containsNonDate="0" containsString="0" containsBlank="1"/>
    </cacheField>
    <cacheField name="Which camps? (Midwest 2019)" numFmtId="0">
      <sharedItems containsNonDate="0" containsString="0" containsBlank="1"/>
    </cacheField>
    <cacheField name="Which camps? (Midwest 2022)" numFmtId="0">
      <sharedItems containsBlank="1"/>
    </cacheField>
    <cacheField name="Which camps? (Midwest 2023)" numFmtId="0">
      <sharedItems containsBlank="1"/>
    </cacheField>
    <cacheField name="Which camps? (Chicago Day Camp 2021)" numFmtId="0">
      <sharedItems containsNonDate="0" containsString="0" containsBlank="1"/>
    </cacheField>
    <cacheField name="Which camps? (Chicago Day Camp 2023)" numFmtId="0">
      <sharedItems containsBlank="1"/>
    </cacheField>
    <cacheField name="Which camps? (Seattle Day Camp 2021)" numFmtId="0">
      <sharedItems containsBlank="1"/>
    </cacheField>
    <cacheField name="Which camps? (Atlanta Day Camp 2021)" numFmtId="0">
      <sharedItems containsBlank="1"/>
    </cacheField>
    <cacheField name="Which camps? (South 2022)" numFmtId="0">
      <sharedItems containsBlank="1"/>
    </cacheField>
    <cacheField name="Which camps? (LA Day Camp 2022)" numFmtId="0">
      <sharedItems containsNonDate="0" containsString="0" containsBlank="1"/>
    </cacheField>
    <cacheField name="Which camps? (LA Day Camp 2023)" numFmtId="0">
      <sharedItems containsNonDate="0" containsString="0" containsBlank="1"/>
    </cacheField>
    <cacheField name="How did you hear about Trybal? (I'm an alum)" numFmtId="0">
      <sharedItems containsBlank="1"/>
    </cacheField>
    <cacheField name="How did you hear about Trybal? (Another Trybal event)" numFmtId="0">
      <sharedItems containsBlank="1"/>
    </cacheField>
    <cacheField name="How did you hear about Trybal? (Jewish Federation of Greater Atlanta)" numFmtId="0">
      <sharedItems containsBlank="1"/>
    </cacheField>
    <cacheField name="How did you hear about Trybal? (Marcus JCC of Atlanta (MJCCA))" numFmtId="0">
      <sharedItems containsBlank="1"/>
    </cacheField>
    <cacheField name="How did you hear about Trybal? (The Temple)" numFmtId="0">
      <sharedItems containsBlank="1"/>
    </cacheField>
    <cacheField name="How did you hear about Trybal? (Honeymoon Israel)" numFmtId="0">
      <sharedItems containsBlank="1"/>
    </cacheField>
    <cacheField name="How did you hear about Trybal? (Friends)" numFmtId="0">
      <sharedItems containsBlank="1"/>
    </cacheField>
    <cacheField name="How did you hear about Trybal? (Facebook)" numFmtId="0">
      <sharedItems containsBlank="1"/>
    </cacheField>
    <cacheField name="How did you hear about Trybal? (Instagram)" numFmtId="0">
      <sharedItems containsBlank="1"/>
    </cacheField>
    <cacheField name="How did you hear about Trybal? (A family member)" numFmtId="0">
      <sharedItems containsBlank="1"/>
    </cacheField>
    <cacheField name="How did you hear about Trybal? (Internet search)" numFmtId="0">
      <sharedItems containsBlank="1"/>
    </cacheField>
    <cacheField name="How did you hear about Trybal? (Press)" numFmtId="0">
      <sharedItems containsBlank="1"/>
    </cacheField>
    <cacheField name="How did you hear about Trybal? (Another Jewish organization)" numFmtId="0">
      <sharedItems containsBlank="1"/>
    </cacheField>
    <cacheField name="How did you hear about Trybal? (Other)" numFmtId="0">
      <sharedItems containsBlank="1"/>
    </cacheField>
    <cacheField name="Did you ever attend camp as a kid or as a staff member? (Yes, day camp)" numFmtId="0">
      <sharedItems containsBlank="1"/>
    </cacheField>
    <cacheField name="Did you ever attend camp as a kid or as a staff member? (Yes, overnight camp)" numFmtId="0">
      <sharedItems containsBlank="1"/>
    </cacheField>
    <cacheField name="Did you ever attend camp as a kid or as a staff member? (No)" numFmtId="0">
      <sharedItems containsBlank="1"/>
    </cacheField>
    <cacheField name="Which camp(s)?" numFmtId="0">
      <sharedItems containsBlank="1"/>
    </cacheField>
    <cacheField name="Which friend(s)?" numFmtId="0">
      <sharedItems containsBlank="1"/>
    </cacheField>
    <cacheField name="Which other Jewish organization(s)?" numFmtId="0">
      <sharedItems containsBlank="1"/>
    </cacheField>
    <cacheField name="Where'd you hear about Trybal?" numFmtId="0">
      <sharedItems containsBlank="1"/>
    </cacheField>
    <cacheField name="Do you have any medical or accessibility considerations we should be aware of?" numFmtId="0">
      <sharedItems containsBlank="1"/>
    </cacheField>
    <cacheField name="Please explain2" numFmtId="0">
      <sharedItems containsBlank="1" longText="1"/>
    </cacheField>
    <cacheField name="Are you interested in taking the bus from NYC?" numFmtId="0">
      <sharedItems containsBlank="1"/>
    </cacheField>
    <cacheField name="What do you do for a living?" numFmtId="0">
      <sharedItems containsBlank="1"/>
    </cacheField>
    <cacheField name="Tell us a fun fact about yourself!" numFmtId="0">
      <sharedItems containsBlank="1"/>
    </cacheField>
    <cacheField name="What's your favorite midnight snack?" numFmtId="0">
      <sharedItems containsBlank="1"/>
    </cacheField>
    <cacheField name="Anything else you want us to know?" numFmtId="0">
      <sharedItems containsBlank="1" longText="1"/>
    </cacheField>
    <cacheField name="Please accept this waiver in order to register for the event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n v="49754731"/>
    <d v="2024-06-21T21:12:00"/>
    <s v="Akyol"/>
    <s v="Standard Ticket"/>
    <m/>
    <n v="149"/>
    <n v="157.53"/>
    <n v="8.5299999999999994"/>
    <s v="Male"/>
    <d v="1990-04-27T00:00:00"/>
    <n v="33"/>
    <s v="Atlanta"/>
    <s v="GA"/>
    <s v="30341-1421"/>
    <s v="US"/>
    <s v="Confirm"/>
    <s v="M"/>
    <s v="Kosher"/>
    <m/>
    <m/>
    <m/>
    <m/>
    <m/>
    <s v="I'm not Jewish"/>
    <s v="I've never had a camp experience and always wanted to have one!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m/>
    <m/>
    <m/>
    <m/>
    <s v="No"/>
    <m/>
    <m/>
    <s v="Research and development engineer for a medical device startup"/>
    <s v="I enjoy woodworking and have built 2 small rowboats!"/>
    <s v="Granola with coffee creamer"/>
    <m/>
    <s v="Yes"/>
  </r>
  <r>
    <x v="0"/>
    <n v="47681443"/>
    <d v="2024-04-15T16:10:00"/>
    <s v="Barzey"/>
    <s v="Early Bird Ticket"/>
    <m/>
    <n v="99"/>
    <n v="104.81"/>
    <n v="5.81"/>
    <s v="Non-binary"/>
    <d v="1987-03-19T00:00:00"/>
    <n v="37"/>
    <s v="Atlanta"/>
    <s v="GA"/>
    <n v="33609"/>
    <s v="US"/>
    <s v="Confirm"/>
    <s v="XL"/>
    <s v="None"/>
    <m/>
    <m/>
    <m/>
    <m/>
    <m/>
    <s v="Just Jewish"/>
    <m/>
    <s v="Yes"/>
    <m/>
    <m/>
    <m/>
    <m/>
    <m/>
    <m/>
    <m/>
    <m/>
    <m/>
    <s v="Yes"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s v="Yes"/>
    <s v="Yes"/>
    <m/>
    <s v="High Meadows Camp, Camp Crescendo"/>
    <m/>
    <m/>
    <m/>
    <s v="Yes"/>
    <s v="I have chronic muscle pain that sometimes limits my mobility. Assistance with golf carts has been so helpful at past events!"/>
    <m/>
    <s v="Therapist"/>
    <s v="I forage mushrooms!"/>
    <s v="Cereal"/>
    <m/>
    <s v="Yes"/>
  </r>
  <r>
    <x v="0"/>
    <n v="47675376"/>
    <d v="2024-04-15T13:40:00"/>
    <s v="Birnbaum"/>
    <s v="Early Bird Ticket"/>
    <m/>
    <n v="99"/>
    <n v="104.81"/>
    <n v="5.81"/>
    <s v="Female"/>
    <d v="1985-03-01T00:00:00"/>
    <n v="39"/>
    <s v="Atlanta"/>
    <s v="GA"/>
    <n v="30324"/>
    <s v="US"/>
    <s v="Confirm"/>
    <s v="L"/>
    <s v="Other"/>
    <s v="Walnut Allergy"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Yes"/>
    <m/>
    <m/>
    <m/>
    <m/>
    <m/>
    <m/>
    <s v="Yes"/>
    <m/>
    <s v="URJ Camp Coleman"/>
    <s v="Parker Brady, Annika Pracher"/>
    <m/>
    <m/>
    <s v="No"/>
    <m/>
    <m/>
    <s v="Marketing"/>
    <s v="I can juggle"/>
    <s v="Oreos"/>
    <s v="I was always on the winning team during Maccabiah every single summer I attended Coleman"/>
    <s v="Yes"/>
  </r>
  <r>
    <x v="0"/>
    <n v="48166123"/>
    <d v="2024-04-29T10:17:00"/>
    <s v="Book"/>
    <s v="Early Bird Ticket"/>
    <m/>
    <n v="99"/>
    <n v="104.81"/>
    <n v="5.81"/>
    <s v="Female"/>
    <d v="1987-10-22T00:00:00"/>
    <n v="36"/>
    <s v="Atlanta"/>
    <s v="GA"/>
    <n v="19107"/>
    <s v="US"/>
    <s v="Confirm"/>
    <s v="M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m/>
    <s v="Ramah Darom"/>
    <s v="Kat Shambaugh"/>
    <m/>
    <m/>
    <s v="No"/>
    <m/>
    <m/>
    <s v="Law Student"/>
    <s v="I had a pet snake growing up"/>
    <s v="Frozen Grapes"/>
    <m/>
    <s v="Yes"/>
  </r>
  <r>
    <x v="0"/>
    <n v="48051139"/>
    <d v="2024-04-26T09:35:00"/>
    <s v="Brady"/>
    <s v="Early Bird Ticket"/>
    <m/>
    <n v="99"/>
    <n v="104.81"/>
    <n v="5.81"/>
    <s v="Female"/>
    <d v="1994-04-04T00:00:00"/>
    <n v="30"/>
    <s v="Alpharetta"/>
    <s v="GA"/>
    <n v="8083"/>
    <s v="US"/>
    <s v="Confirm"/>
    <s v="S"/>
    <s v="Other"/>
    <s v="Allergic to raw tomatoes"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s v="Yes"/>
    <m/>
    <s v="YMCA Camp Warren, YMCA Camp Manitou, both in Minnesota, as camper and counselor"/>
    <m/>
    <m/>
    <m/>
    <s v="No"/>
    <m/>
    <m/>
    <s v="Storm water engineer"/>
    <s v="I've lived in six states and two countries!"/>
    <s v="Cookie dough"/>
    <m/>
    <s v="Yes"/>
  </r>
  <r>
    <x v="0"/>
    <n v="48859447"/>
    <d v="2024-05-20T15:08:00"/>
    <s v="Brody"/>
    <s v="Early Bird Ticket"/>
    <m/>
    <n v="99"/>
    <n v="105.11"/>
    <n v="6.11"/>
    <s v="Female"/>
    <d v="1995-09-20T00:00:00"/>
    <n v="28"/>
    <s v="Atlanta"/>
    <s v="GA"/>
    <n v="30319"/>
    <s v="US"/>
    <s v="Confirm"/>
    <s v="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s v="Yes"/>
    <m/>
    <s v="Kat Shambaugh"/>
    <m/>
    <m/>
    <s v="No"/>
    <m/>
    <m/>
    <s v="I work for a healthcare staffing company"/>
    <m/>
    <m/>
    <m/>
    <s v="Yes"/>
  </r>
  <r>
    <x v="0"/>
    <n v="49323159"/>
    <d v="2024-06-06T12:39:00"/>
    <s v="Brown"/>
    <s v="Standard Ticket"/>
    <m/>
    <n v="149"/>
    <n v="157.08000000000001"/>
    <n v="8.08"/>
    <s v="Female"/>
    <d v="1989-03-18T00:00:00"/>
    <n v="35"/>
    <s v="Decatur"/>
    <s v="GA"/>
    <n v="30312"/>
    <s v="US"/>
    <s v="Confirm"/>
    <s v="L"/>
    <s v="None"/>
    <m/>
    <m/>
    <m/>
    <m/>
    <m/>
    <s v="I'm not Jewish"/>
    <s v="Fun w sis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s v="Yes"/>
    <m/>
    <m/>
    <m/>
    <m/>
    <s v="No"/>
    <m/>
    <m/>
    <m/>
    <m/>
    <m/>
    <m/>
    <s v="Yes"/>
  </r>
  <r>
    <x v="0"/>
    <n v="48029806"/>
    <d v="2024-04-25T18:13:00"/>
    <s v="Chanin"/>
    <s v="Early Bird Ticket"/>
    <m/>
    <n v="99"/>
    <n v="104.81"/>
    <n v="5.81"/>
    <s v="Non-binary"/>
    <d v="1998-08-12T00:00:00"/>
    <n v="25"/>
    <s v="Atlanta"/>
    <s v="GA"/>
    <n v="30030"/>
    <s v="US"/>
    <s v="Confirm"/>
    <s v="XXL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s v="Yes"/>
    <s v="Yes"/>
    <m/>
    <s v="Pinemere Camp, URJ Camp Harlam"/>
    <m/>
    <m/>
    <m/>
    <s v="No"/>
    <m/>
    <m/>
    <s v="Customer Relaitions in Digital Supply Chain management"/>
    <m/>
    <s v="Pizza"/>
    <m/>
    <s v="Yes"/>
  </r>
  <r>
    <x v="0"/>
    <n v="49574860"/>
    <d v="2024-06-14T22:10:00"/>
    <s v="Cobb"/>
    <s v="Standard Ticket"/>
    <m/>
    <n v="149"/>
    <n v="157.08000000000001"/>
    <n v="8.08"/>
    <s v="Female"/>
    <d v="1997-01-17T00:00:00"/>
    <n v="27"/>
    <s v="Atlanta"/>
    <s v="GA"/>
    <n v="30022"/>
    <s v="US"/>
    <s v="Confirm"/>
    <s v="M"/>
    <s v="None"/>
    <m/>
    <m/>
    <m/>
    <m/>
    <m/>
    <s v="I'm not Jewish"/>
    <s v="Instagram and sister in law is Jewish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s v="Yes"/>
    <s v="Yes"/>
    <m/>
    <s v="Girls Scout Camp"/>
    <m/>
    <m/>
    <m/>
    <s v="No"/>
    <m/>
    <m/>
    <s v="Nurse manager"/>
    <s v="I lived in Moldova for 2 years as a Peace Corps volunteer"/>
    <s v="Chocolate"/>
    <m/>
    <s v="Yes"/>
  </r>
  <r>
    <x v="0"/>
    <n v="48485150"/>
    <d v="2024-05-08T16:14:00"/>
    <s v="Comisar"/>
    <s v="Standard Ticket"/>
    <s v="WAFFLES"/>
    <n v="149"/>
    <n v="104.81"/>
    <n v="5.81"/>
    <s v="Female"/>
    <d v="1989-08-19T00:00:00"/>
    <n v="34"/>
    <s v="johns creek"/>
    <s v="GA"/>
    <n v="30338"/>
    <s v="US"/>
    <s v="Confirm"/>
    <s v="S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s v="Yes"/>
    <s v="Yes"/>
    <m/>
    <s v="A variety of camps"/>
    <m/>
    <m/>
    <m/>
    <s v="No"/>
    <m/>
    <m/>
    <s v="Strat Ops in tech"/>
    <s v="I recently moved from San Francisco"/>
    <s v="Popcorn and goldfish"/>
    <s v="I’m new to Atlanta and looking to meet friends in their late 20s/early 30s. Single :)"/>
    <s v="Yes"/>
  </r>
  <r>
    <x v="0"/>
    <n v="47077402"/>
    <d v="2024-03-30T23:35:00"/>
    <s v="Ferenczy"/>
    <s v="Early Bird Ticket"/>
    <m/>
    <n v="99"/>
    <n v="105.11"/>
    <n v="6.11"/>
    <s v="Male"/>
    <d v="1984-10-09T00:00:00"/>
    <n v="39"/>
    <s v="Duluth"/>
    <s v="GA"/>
    <n v="30305"/>
    <s v="US"/>
    <s v="Confirm"/>
    <s v="XXL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m/>
    <s v="Yes"/>
    <m/>
    <m/>
    <m/>
    <m/>
    <s v="Yes"/>
    <m/>
    <m/>
    <m/>
    <m/>
    <m/>
    <m/>
    <m/>
    <m/>
    <m/>
    <m/>
    <m/>
    <m/>
    <m/>
    <m/>
    <m/>
    <m/>
    <s v="Yes"/>
    <m/>
    <m/>
    <s v="Isadore Alterman"/>
    <m/>
    <m/>
    <m/>
    <s v="Yes"/>
    <s v="Ehlers Danlos Syndrome, Hypermobility Type; mainly, I have some mobility issues and I use a forearm crutch to get around. I'm not really able to do much running or jumping, just for the record, and I have a hard time walking hills or long distances on gravel or sand"/>
    <m/>
    <s v="I'm a college student"/>
    <s v="I make model cars and other scale models"/>
    <s v="French fries"/>
    <s v="Not really?"/>
    <s v="Yes"/>
  </r>
  <r>
    <x v="0"/>
    <n v="48608935"/>
    <d v="2024-05-12T15:28:00"/>
    <s v="Florence"/>
    <s v="Early Bird Ticket"/>
    <s v="HMIDAYCAMP"/>
    <n v="99"/>
    <n v="67.180000000000007"/>
    <n v="4.18"/>
    <s v="Female"/>
    <d v="1994-07-11T00:00:00"/>
    <n v="29"/>
    <s v="Atlanta"/>
    <s v="GA"/>
    <s v="38120-2833"/>
    <s v="US"/>
    <s v="Confirm"/>
    <s v="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s v="Yes"/>
    <m/>
    <s v="Timberlane"/>
    <m/>
    <m/>
    <m/>
    <s v="No"/>
    <m/>
    <m/>
    <m/>
    <m/>
    <m/>
    <m/>
    <s v="Yes"/>
  </r>
  <r>
    <x v="0"/>
    <n v="48197293"/>
    <d v="2024-04-30T09:49:00"/>
    <s v="Friedland"/>
    <s v="Early Bird Ticket"/>
    <m/>
    <n v="99"/>
    <n v="105.11"/>
    <n v="6.11"/>
    <s v="Female"/>
    <d v="1990-11-04T00:00:00"/>
    <n v="33"/>
    <s v="East Point"/>
    <s v="GA"/>
    <n v="30068"/>
    <s v="US"/>
    <s v="Confirm"/>
    <s v="S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s v="Yes"/>
    <m/>
    <s v="Camp Hillard Day Camp, variety non-Jewish overnight camps (Camp Minikani, Interlochen Arts Camp, Boston University Tanglewood Insitute....)"/>
    <m/>
    <m/>
    <m/>
    <s v="No"/>
    <m/>
    <m/>
    <s v="Jewish Professional"/>
    <s v="I was a grammy nominated professional musician in a previous life!"/>
    <s v="berries"/>
    <s v="-"/>
    <s v="Yes"/>
  </r>
  <r>
    <x v="0"/>
    <n v="48551140"/>
    <d v="2024-05-10T17:03:00"/>
    <s v="Gitnik"/>
    <s v="Standard Ticket"/>
    <s v="WAFFLES"/>
    <n v="149"/>
    <n v="210.22"/>
    <n v="12.22"/>
    <s v="Female"/>
    <d v="1998-11-16T00:00:00"/>
    <n v="25"/>
    <s v="Greenville"/>
    <s v="SC"/>
    <n v="30342"/>
    <s v="US"/>
    <s v="Confirm"/>
    <s v="M"/>
    <s v="Gluten-free, Dairy-free"/>
    <m/>
    <m/>
    <m/>
    <m/>
    <m/>
    <s v="Culturally Jewish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s v="Yes"/>
    <m/>
    <s v="Girl Scout camp"/>
    <s v="Shelby Warren"/>
    <m/>
    <m/>
    <s v="No"/>
    <m/>
    <m/>
    <s v="Marketing analytics for medical technology company"/>
    <s v="I have a honey collection!"/>
    <s v="Popcorn!"/>
    <m/>
    <s v="Yes"/>
  </r>
  <r>
    <x v="0"/>
    <n v="49366308"/>
    <d v="2024-06-07T18:22:00"/>
    <s v="Greenberg"/>
    <s v="Standard Ticket"/>
    <m/>
    <n v="149"/>
    <n v="157.53"/>
    <n v="8.5299999999999994"/>
    <s v="Male"/>
    <d v="1986-07-02T00:00:00"/>
    <n v="37"/>
    <s v="Atlanta"/>
    <s v="GA"/>
    <n v="33139"/>
    <s v="US"/>
    <s v="Confirm"/>
    <s v="L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s v="Yes"/>
    <m/>
    <s v="Camp Cobbossee"/>
    <m/>
    <s v="Young Jewish Charleston Facebook page"/>
    <m/>
    <s v="No"/>
    <m/>
    <m/>
    <s v="Ceramic Tile Distributor - Family Business"/>
    <s v="Have a 2 1/2 year old chocolate lab Kobe, got him when he was 8 weeks."/>
    <s v="Grilled Cheese, Mozzarella Sticks."/>
    <m/>
    <s v="Yes"/>
  </r>
  <r>
    <x v="0"/>
    <n v="46954621"/>
    <d v="2024-05-26T23:18:00"/>
    <s v="Grossman"/>
    <s v="Early Bird Ticket"/>
    <s v="PRESALE24"/>
    <n v="99"/>
    <n v="0"/>
    <n v="0"/>
    <s v="Male"/>
    <d v="1989-12-12T00:00:00"/>
    <n v="34"/>
    <s v="Atlanta"/>
    <s v="GA"/>
    <n v="30022"/>
    <s v="US"/>
    <s v="Confirm"/>
    <s v="S"/>
    <s v="None"/>
    <m/>
    <m/>
    <m/>
    <m/>
    <m/>
    <s v="Conservative"/>
    <m/>
    <s v="Yes"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s v="Yes"/>
    <m/>
    <m/>
    <m/>
    <m/>
    <s v="No"/>
    <m/>
    <m/>
    <s v="Consulting"/>
    <s v="I’ve developed VR apps for fun"/>
    <s v="Chocolate covered espresso beans"/>
    <m/>
    <s v="Yes"/>
  </r>
  <r>
    <x v="0"/>
    <n v="49036460"/>
    <d v="2024-03-27T10:05:00"/>
    <s v="Grossman"/>
    <s v="Early Bird Ticket"/>
    <m/>
    <n v="99"/>
    <n v="209.62"/>
    <n v="11.62"/>
    <s v="Male"/>
    <d v="1983-04-02T00:00:00"/>
    <n v="41"/>
    <s v="Atlanta"/>
    <s v="GA"/>
    <n v="30002"/>
    <s v="US"/>
    <s v="Confirm"/>
    <s v="M"/>
    <s v="None"/>
    <m/>
    <m/>
    <m/>
    <m/>
    <m/>
    <s v="Just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s v="Yes"/>
    <m/>
    <m/>
    <m/>
    <m/>
    <s v="No"/>
    <m/>
    <m/>
    <s v="Work"/>
    <s v="People don't know how high I can jump"/>
    <s v="Still Water"/>
    <m/>
    <s v="Yes"/>
  </r>
  <r>
    <x v="0"/>
    <n v="47465233"/>
    <d v="2024-04-10T16:22:00"/>
    <s v="Hatfield"/>
    <s v="Early Bird Ticket"/>
    <m/>
    <n v="99"/>
    <n v="104.81"/>
    <n v="5.81"/>
    <s v="Female"/>
    <d v="1991-03-19T00:00:00"/>
    <n v="33"/>
    <s v="Atlanta"/>
    <s v="GA"/>
    <n v="30096"/>
    <s v="US"/>
    <s v="Confirm"/>
    <s v="XXL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s v="Yes"/>
    <m/>
    <s v="Not Jewish camps"/>
    <m/>
    <m/>
    <m/>
    <s v="No"/>
    <m/>
    <m/>
    <s v="Teacher"/>
    <s v="I climbed the world's highest active volcano"/>
    <s v="Cheetos puffs"/>
    <m/>
    <s v="Yes"/>
  </r>
  <r>
    <x v="0"/>
    <n v="49305723"/>
    <d v="2024-06-05T17:44:00"/>
    <s v="Jenkins"/>
    <s v="Standard Ticket"/>
    <m/>
    <n v="149"/>
    <n v="157.08000000000001"/>
    <n v="8.08"/>
    <s v="Female"/>
    <d v="1993-04-08T00:00:00"/>
    <n v="31"/>
    <s v="Atlanta"/>
    <s v="GA"/>
    <n v="30022"/>
    <s v="US"/>
    <s v="Confirm"/>
    <s v="M"/>
    <s v="None"/>
    <m/>
    <m/>
    <m/>
    <m/>
    <m/>
    <s v="I'm not Jewish"/>
    <s v="Instagra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s v="Yes"/>
    <s v="Yes"/>
    <m/>
    <s v="4H"/>
    <m/>
    <m/>
    <m/>
    <s v="No"/>
    <m/>
    <m/>
    <m/>
    <m/>
    <m/>
    <m/>
    <s v="Yes"/>
  </r>
  <r>
    <x v="0"/>
    <n v="46908735"/>
    <d v="2024-03-25T13:47:00"/>
    <s v="Jennison"/>
    <s v="Early Bird Ticket"/>
    <s v="PRESALE24"/>
    <n v="99"/>
    <n v="0"/>
    <n v="0"/>
    <s v="Female"/>
    <d v="1986-05-13T00:00:00"/>
    <n v="37"/>
    <s v="Isle of palms"/>
    <s v="SC"/>
    <n v="30062"/>
    <s v="US"/>
    <s v="Confirm"/>
    <s v="L"/>
    <s v="Dairy-free"/>
    <m/>
    <m/>
    <m/>
    <m/>
    <m/>
    <s v="Reform"/>
    <m/>
    <s v="Yes"/>
    <s v="Yes"/>
    <m/>
    <m/>
    <m/>
    <m/>
    <m/>
    <m/>
    <m/>
    <m/>
    <m/>
    <m/>
    <m/>
    <m/>
    <m/>
    <m/>
    <m/>
    <m/>
    <m/>
    <m/>
    <m/>
    <m/>
    <m/>
    <m/>
    <m/>
    <s v="Yes"/>
    <s v="Yes"/>
    <m/>
    <m/>
    <m/>
    <m/>
    <m/>
    <m/>
    <m/>
    <m/>
    <m/>
    <m/>
    <m/>
    <m/>
    <m/>
    <m/>
    <m/>
    <m/>
    <s v="Yes"/>
    <m/>
    <m/>
    <s v="Mjcca"/>
    <m/>
    <m/>
    <m/>
    <s v="Yes"/>
    <s v="Completely Dairy free"/>
    <m/>
    <s v="Creative director (graphic design)"/>
    <s v="I won a zany brainy shopping spree when I was little. My favorite thing I got was a gameboy color."/>
    <s v="Cookies"/>
    <m/>
    <s v="Yes"/>
  </r>
  <r>
    <x v="0"/>
    <n v="48607375"/>
    <d v="2024-05-12T14:26:00"/>
    <s v="Jones"/>
    <s v="Early Bird Ticket"/>
    <s v="HMIDAYCAMP"/>
    <n v="99"/>
    <n v="134.36000000000001"/>
    <n v="8.36"/>
    <s v="Male"/>
    <d v="1997-12-24T00:00:00"/>
    <n v="26"/>
    <s v="Decatur"/>
    <s v="GA"/>
    <n v="30309"/>
    <s v="US"/>
    <s v="Confirm"/>
    <s v="M"/>
    <s v="Other"/>
    <s v="No red meat"/>
    <m/>
    <m/>
    <m/>
    <m/>
    <s v="I'm not Jewish"/>
    <s v="My wife/HMI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s v="Yes"/>
    <m/>
    <s v="Camp Ocoee, Space Camp"/>
    <m/>
    <m/>
    <m/>
    <s v="No"/>
    <m/>
    <m/>
    <s v="Sr. Data Scientist"/>
    <s v="I have a twin brother (not identical)"/>
    <s v="Chocolate covered almonds"/>
    <m/>
    <s v="Yes"/>
  </r>
  <r>
    <x v="0"/>
    <n v="49130704"/>
    <d v="2024-05-30T19:47:00"/>
    <s v="Kaufman"/>
    <s v="Early Bird Ticket"/>
    <m/>
    <n v="99"/>
    <n v="105.11"/>
    <n v="6.11"/>
    <s v="Male"/>
    <d v="1986-04-02T00:00:00"/>
    <n v="37"/>
    <s v="Atlanta"/>
    <s v="GA"/>
    <n v="30318"/>
    <s v="US"/>
    <s v="Confirm"/>
    <s v="L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s v="Yes"/>
    <s v="Yes"/>
    <m/>
    <s v="Camp Champions"/>
    <m/>
    <m/>
    <m/>
    <s v="No"/>
    <m/>
    <m/>
    <s v="Teacher"/>
    <s v="I make scrapbooks"/>
    <s v="Cereal"/>
    <m/>
    <s v="Yes"/>
  </r>
  <r>
    <x v="0"/>
    <n v="49161415"/>
    <d v="2024-05-31T17:56:00"/>
    <s v="Kobylka"/>
    <s v="Early Bird Ticket"/>
    <s v="YJC2ATL"/>
    <n v="99"/>
    <n v="0"/>
    <n v="0"/>
    <s v="Female"/>
    <d v="1995-10-18T00:00:00"/>
    <n v="28"/>
    <s v="Vernon Hills"/>
    <s v="IL"/>
    <n v="30319"/>
    <s v="US"/>
    <s v="Confirm"/>
    <s v="S"/>
    <s v="gluten-fre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s v="Yes"/>
    <m/>
    <m/>
    <s v="KKBE, YJC, Chabad Charleston"/>
    <m/>
    <s v="Yes"/>
    <s v="Type 1 Diabetes"/>
    <m/>
    <s v="Law Student"/>
    <m/>
    <m/>
    <m/>
    <s v="Yes"/>
  </r>
  <r>
    <x v="0"/>
    <n v="49420093"/>
    <d v="2024-06-09T12:37:00"/>
    <s v="Lartsin"/>
    <s v="Standard Ticket"/>
    <m/>
    <n v="149"/>
    <n v="157.08000000000001"/>
    <n v="8.08"/>
    <s v="Male"/>
    <d v="1984-05-05T00:00:00"/>
    <n v="39"/>
    <s v="Charleston"/>
    <s v="SC"/>
    <n v="30306"/>
    <s v="US"/>
    <s v="Confirm"/>
    <s v="X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s v="Yes"/>
    <m/>
    <m/>
    <s v="Dora Golding"/>
    <m/>
    <m/>
    <s v="Google"/>
    <s v="No"/>
    <m/>
    <m/>
    <s v="Electrician"/>
    <s v="I am an electrician. Play the drums, like to cook; love outdoors."/>
    <s v="Potatoes chips and popcorn"/>
    <s v="I'm a cool dude"/>
    <s v="Yes"/>
  </r>
  <r>
    <x v="0"/>
    <n v="49022759"/>
    <d v="2024-05-26T11:51:00"/>
    <s v="Lathrop"/>
    <s v="Early Bird Ticket"/>
    <m/>
    <n v="99"/>
    <n v="209.62"/>
    <n v="11.62"/>
    <s v="Female"/>
    <d v="1996-04-16T00:00:00"/>
    <n v="28"/>
    <s v="Miami Beach"/>
    <s v="FL"/>
    <n v="30350"/>
    <s v="US"/>
    <s v="Confirm"/>
    <s v="S"/>
    <s v="None"/>
    <m/>
    <m/>
    <m/>
    <m/>
    <m/>
    <s v="I'm not Jewish"/>
    <s v="The logistical truth -- said boyfriend. But looking at the website, it appears to be a fun event and nice community.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s v="Yes"/>
    <m/>
    <s v="LivingSocial Summer Camp (as participant 1x), WeWork Summer Camp (as participant 1x)"/>
    <s v="Ideen"/>
    <m/>
    <m/>
    <s v="No"/>
    <m/>
    <m/>
    <s v="Done a bunch of stuff (real estate, customer service, sales, hospitality, volunteer coordination). Currently project management at a engineering firm."/>
    <s v="Visited all 7 continents."/>
    <s v="All da snacks!"/>
    <m/>
    <s v="Yes"/>
  </r>
  <r>
    <x v="0"/>
    <n v="48551140"/>
    <d v="2024-05-10T17:03:00"/>
    <s v="Laufer"/>
    <s v="Standard Ticket"/>
    <s v="WAFFLES"/>
    <n v="149"/>
    <n v="210.22"/>
    <n v="12.22"/>
    <s v="Female"/>
    <d v="1990-05-08T00:00:00"/>
    <n v="34"/>
    <s v="Long Beach"/>
    <s v="CA"/>
    <n v="30318"/>
    <s v="US"/>
    <s v="Confirm"/>
    <s v="M"/>
    <s v="Vegetarian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m/>
    <m/>
    <s v="Temple Beth Emet"/>
    <s v="Shelby Warren"/>
    <m/>
    <m/>
    <s v="No"/>
    <m/>
    <m/>
    <s v="IT Admin at Academic Institution"/>
    <s v="I've been to 30 countries!"/>
    <s v="Goldfish!"/>
    <m/>
    <s v="Yes"/>
  </r>
  <r>
    <x v="0"/>
    <n v="48337333"/>
    <d v="2024-05-03T21:17:00"/>
    <s v="Lazarus"/>
    <s v="Early Bird Ticket"/>
    <m/>
    <n v="99"/>
    <n v="105.11"/>
    <n v="6.11"/>
    <s v="Female"/>
    <d v="1996-06-17T00:00:00"/>
    <n v="28"/>
    <s v="Atlanta"/>
    <s v="GA"/>
    <n v="30307"/>
    <s v="US"/>
    <s v="Confirm"/>
    <s v="L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m/>
    <m/>
    <m/>
    <m/>
    <m/>
    <m/>
    <m/>
    <m/>
    <s v="Yes"/>
    <m/>
    <s v="Camp Bluestar"/>
    <s v="Jaclyn Turner"/>
    <m/>
    <m/>
    <s v="No"/>
    <m/>
    <m/>
    <s v="Attorney"/>
    <s v="I love the Golden Girls"/>
    <s v="Milk and cookies"/>
    <m/>
    <s v="Yes"/>
  </r>
  <r>
    <x v="0"/>
    <n v="48185795"/>
    <d v="2024-04-29T19:55:00"/>
    <s v="Leifer"/>
    <s v="Early Bird Ticket"/>
    <m/>
    <n v="99"/>
    <n v="104.81"/>
    <n v="5.81"/>
    <s v="Male"/>
    <d v="1987-02-24T00:00:00"/>
    <n v="37"/>
    <s v="Atlanta"/>
    <s v="GA"/>
    <n v="30033"/>
    <s v="US"/>
    <s v="Confirm"/>
    <s v="M"/>
    <s v="gluten-fre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s v="Yes"/>
    <m/>
    <s v="N/A"/>
    <m/>
    <m/>
    <s v="No"/>
    <m/>
    <m/>
    <m/>
    <m/>
    <m/>
    <m/>
    <s v="Yes"/>
  </r>
  <r>
    <x v="0"/>
    <n v="49148935"/>
    <d v="2024-05-31T12:32:00"/>
    <s v="Levine"/>
    <s v="Early Bird Ticket"/>
    <m/>
    <n v="99"/>
    <n v="104.81"/>
    <n v="5.81"/>
    <s v="Female"/>
    <d v="1994-02-16T00:00:00"/>
    <n v="30"/>
    <s v="dunwoody"/>
    <s v="GA"/>
    <n v="30241"/>
    <s v="US"/>
    <s v="Confirm"/>
    <s v="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No"/>
    <m/>
    <m/>
    <m/>
    <m/>
    <s v="chocolate covered pretzels or white cheddar popcorn"/>
    <s v="I'm not a big drinker and it seems like alcohol is a big part of this event so it would be great if there were fun mocktails"/>
    <s v="Yes"/>
  </r>
  <r>
    <x v="0"/>
    <n v="49082628"/>
    <d v="2024-05-29T09:28:00"/>
    <s v="Ludin"/>
    <s v="Early Bird Ticket"/>
    <m/>
    <n v="99"/>
    <n v="209.62"/>
    <n v="11.62"/>
    <s v="Male"/>
    <d v="1993-03-13T00:00:00"/>
    <n v="31"/>
    <s v="Alpharetta"/>
    <s v="GA"/>
    <n v="30342"/>
    <s v="US"/>
    <s v="Confirm"/>
    <s v="XL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s v="Yes"/>
    <m/>
    <s v="Ramah"/>
    <m/>
    <m/>
    <m/>
    <s v="No"/>
    <m/>
    <m/>
    <s v="Consultant"/>
    <s v="I met my fiance at Trybal"/>
    <s v="Ginger Ale"/>
    <m/>
    <s v="Yes"/>
  </r>
  <r>
    <x v="0"/>
    <n v="49036460"/>
    <d v="2024-05-26T23:18:00"/>
    <s v="Martel"/>
    <s v="Early Bird Ticket"/>
    <m/>
    <n v="99"/>
    <n v="209.62"/>
    <n v="11.62"/>
    <s v="Female"/>
    <d v="1991-01-26T00:00:00"/>
    <n v="33"/>
    <s v="Peachtree Corners"/>
    <s v="GA"/>
    <n v="30062"/>
    <s v="US"/>
    <s v="Confirm"/>
    <s v="M"/>
    <s v="None"/>
    <m/>
    <m/>
    <m/>
    <m/>
    <m/>
    <s v="I'm not Jewish"/>
    <s v="My Husband and Friends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s v="Yes"/>
    <m/>
    <m/>
    <m/>
    <m/>
    <s v="No"/>
    <m/>
    <m/>
    <s v="Work"/>
    <m/>
    <s v="ice cream"/>
    <m/>
    <s v="Yes"/>
  </r>
  <r>
    <x v="0"/>
    <n v="48435249"/>
    <d v="2024-05-06T21:12:00"/>
    <s v="Michaels"/>
    <s v="Standard Ticket"/>
    <s v="WAFFLES"/>
    <n v="99"/>
    <n v="104.81"/>
    <n v="5.81"/>
    <s v="Female"/>
    <d v="1987-11-19T00:00:00"/>
    <n v="36"/>
    <s v="Decatur"/>
    <s v="GA"/>
    <n v="30092"/>
    <s v="US"/>
    <s v="Confirm"/>
    <s v="L"/>
    <s v="None"/>
    <m/>
    <m/>
    <m/>
    <m/>
    <m/>
    <s v="Conservative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s v="Yes"/>
    <s v="Yes"/>
    <m/>
    <s v="JCC Summer Camp- Dayton, OH. Blue Star"/>
    <m/>
    <m/>
    <m/>
    <s v="No"/>
    <m/>
    <m/>
    <s v="Makeup artist"/>
    <s v="Started dj’ing all vinyl events before moving to Atlanta in 2023"/>
    <s v="Sunflower seeds and capri sun"/>
    <m/>
    <s v="Yes"/>
  </r>
  <r>
    <x v="0"/>
    <n v="48608993"/>
    <d v="2024-05-12T15:30:00"/>
    <s v="Mungo"/>
    <s v="Early Bird Ticket"/>
    <s v="HMIDAYCAMP"/>
    <n v="99"/>
    <n v="67.180000000000007"/>
    <n v="4.18"/>
    <s v="Male"/>
    <d v="1996-12-11T00:00:00"/>
    <n v="27"/>
    <s v="Atlanta"/>
    <s v="GA"/>
    <s v="29611-5340"/>
    <s v="US"/>
    <s v="Confirm"/>
    <s v="L"/>
    <s v="None"/>
    <m/>
    <m/>
    <m/>
    <m/>
    <m/>
    <s v="Just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s v="Yes"/>
    <m/>
    <m/>
    <m/>
    <m/>
    <s v="No"/>
    <m/>
    <m/>
    <m/>
    <m/>
    <m/>
    <m/>
    <s v="Yes"/>
  </r>
  <r>
    <x v="0"/>
    <n v="47655273"/>
    <d v="2024-04-14T20:01:00"/>
    <s v="Osman"/>
    <s v="Early Bird Ticket"/>
    <m/>
    <n v="99"/>
    <n v="104.81"/>
    <n v="5.81"/>
    <s v="Non-binary"/>
    <d v="1985-05-28T00:00:00"/>
    <n v="39"/>
    <s v="Brookhaven"/>
    <s v="GA"/>
    <n v="30030"/>
    <s v="US"/>
    <s v="Confirm"/>
    <s v="M"/>
    <s v="Vegetarian, Dairy-fre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s v="Yes"/>
    <m/>
    <s v="Miranda Barzey &amp; Tiffany"/>
    <m/>
    <m/>
    <s v="No"/>
    <m/>
    <m/>
    <s v="Data Analyst"/>
    <s v="I alter my clothes and crochet! Also, I'm always on the search for queer community in Atlanta - I've started line dancing and am improving my skills before attending queer line dancing nights!"/>
    <s v="I don't do a lot of midnight snacking, but I think my dream midnight snack would be chocolate covered pretzels or brownie brittle._x000a_"/>
    <s v="I'm non-binary and neurodivergent - I love connecting with people but find myself masking a lot or feeling like I have to dull my queerness around new people. I have friends that have attended this event in the past, and I'm excited to be in this space and bring my full self to it."/>
    <s v="Yes"/>
  </r>
  <r>
    <x v="0"/>
    <n v="49082628"/>
    <d v="2024-05-29T09:28:00"/>
    <s v="Plavnik"/>
    <s v="Early Bird Ticket"/>
    <m/>
    <n v="99"/>
    <n v="209.62"/>
    <n v="11.62"/>
    <s v="Female"/>
    <d v="1986-02-04T00:00:00"/>
    <n v="38"/>
    <s v="TITUSVILLE"/>
    <s v="NJ"/>
    <n v="30339"/>
    <s v="US"/>
    <s v="Confirm"/>
    <s v="S"/>
    <s v="None"/>
    <m/>
    <m/>
    <m/>
    <m/>
    <m/>
    <s v="Culturally Jewish"/>
    <m/>
    <s v="Yes"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s v="Yes"/>
    <m/>
    <m/>
    <m/>
    <m/>
    <s v="No"/>
    <m/>
    <m/>
    <s v="Scientist"/>
    <s v="I speak Russian"/>
    <s v="Dark Chocolate"/>
    <m/>
    <s v="Yes"/>
  </r>
  <r>
    <x v="0"/>
    <n v="48030238"/>
    <d v="2024-04-25T18:24:00"/>
    <s v="Reyes"/>
    <s v="Early Bird Ticket"/>
    <m/>
    <n v="99"/>
    <n v="105.11"/>
    <n v="6.11"/>
    <s v="Female"/>
    <d v="1992-07-24T00:00:00"/>
    <n v="31"/>
    <s v="Decatur"/>
    <s v="GA"/>
    <n v="30318"/>
    <s v="US"/>
    <s v="Confirm"/>
    <s v="X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s v="Yes"/>
    <m/>
    <s v="David Chanin"/>
    <m/>
    <m/>
    <s v="No"/>
    <m/>
    <m/>
    <s v="Health professional"/>
    <s v="I analyze plane crashes"/>
    <s v="Cheese"/>
    <s v="I wish I knew how to play chess"/>
    <s v="Yes"/>
  </r>
  <r>
    <x v="0"/>
    <n v="48330595"/>
    <d v="2024-05-03T18:39:00"/>
    <s v="Rice"/>
    <s v="Early Bird Ticket"/>
    <m/>
    <n v="99"/>
    <n v="105.11"/>
    <n v="6.11"/>
    <s v="Male"/>
    <d v="1998-02-25T00:00:00"/>
    <n v="26"/>
    <s v="Memphis"/>
    <s v="TN"/>
    <n v="30344"/>
    <s v="US"/>
    <s v="Confirm"/>
    <s v="L"/>
    <s v="None"/>
    <m/>
    <m/>
    <m/>
    <m/>
    <m/>
    <s v="Just Jewish"/>
    <m/>
    <s v="Yes"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s v="Yes"/>
    <m/>
    <s v="URJ Camp Coleman"/>
    <m/>
    <m/>
    <m/>
    <s v="No"/>
    <m/>
    <m/>
    <s v="Director of Jewish Community Affairs for the Consulate General of Israel to the Southeast U.S."/>
    <s v="I DJ’d for 6 years!"/>
    <s v="Nachos"/>
    <s v="Looking forward to this experience!"/>
    <s v="Yes"/>
  </r>
  <r>
    <x v="0"/>
    <n v="49231202"/>
    <d v="2024-06-02T19:22:00"/>
    <s v="Rice"/>
    <s v="Standard Ticket"/>
    <s v="YJC2ATL"/>
    <n v="149"/>
    <n v="0"/>
    <n v="0"/>
    <s v="Female"/>
    <d v="1996-05-20T00:00:00"/>
    <n v="27"/>
    <s v="Sandy Springs"/>
    <s v="GA"/>
    <n v="30341"/>
    <s v="US"/>
    <s v="Confirm"/>
    <s v="L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Yes"/>
    <m/>
    <s v="Camp Chingachgook"/>
    <m/>
    <m/>
    <s v="Jewish federation of Charleston SC"/>
    <s v="No"/>
    <m/>
    <m/>
    <s v="Senior Garden Educator at The Green Heart Project"/>
    <s v="I do beekeeping!"/>
    <s v="Cheezits or pretzels"/>
    <s v="I love camp!!!!"/>
    <s v="Yes"/>
  </r>
  <r>
    <x v="0"/>
    <n v="48436332"/>
    <d v="2024-05-06T21:49:00"/>
    <s v="Rogers"/>
    <s v="Standard Ticket"/>
    <s v="WAFFLES"/>
    <n v="99"/>
    <n v="104.81"/>
    <n v="5.81"/>
    <s v="Male"/>
    <d v="1993-03-03T00:00:00"/>
    <n v="31"/>
    <s v="Marietta"/>
    <s v="GA"/>
    <n v="30360"/>
    <s v="US"/>
    <s v="Confirm"/>
    <s v="M"/>
    <s v="None"/>
    <m/>
    <m/>
    <m/>
    <m/>
    <m/>
    <s v="Culturally Jewish"/>
    <m/>
    <s v="Yes"/>
    <s v="Yes"/>
    <m/>
    <m/>
    <m/>
    <m/>
    <m/>
    <m/>
    <m/>
    <m/>
    <m/>
    <m/>
    <m/>
    <m/>
    <m/>
    <m/>
    <m/>
    <m/>
    <m/>
    <m/>
    <m/>
    <m/>
    <m/>
    <m/>
    <m/>
    <s v="Yes"/>
    <s v="Yes"/>
    <m/>
    <m/>
    <m/>
    <m/>
    <m/>
    <m/>
    <m/>
    <m/>
    <m/>
    <m/>
    <m/>
    <m/>
    <m/>
    <m/>
    <m/>
    <m/>
    <s v="Yes"/>
    <s v="Yes"/>
    <m/>
    <s v="Camp Chai, Camp Coleman"/>
    <m/>
    <m/>
    <m/>
    <s v="No"/>
    <m/>
    <m/>
    <s v="User Experience Designer"/>
    <s v="I'm in a cornhole league and am really good at it... Can i bring my boards and bags???"/>
    <s v="Chocolate Brownies / Cookies"/>
    <s v="I'm excited!"/>
    <s v="Yes"/>
  </r>
  <r>
    <x v="0"/>
    <n v="46920921"/>
    <d v="2024-03-25T21:19:00"/>
    <s v="Rosen"/>
    <s v="Early Bird Ticket"/>
    <s v="PRESALE24"/>
    <n v="99"/>
    <n v="0"/>
    <n v="0"/>
    <s v="Female"/>
    <d v="1993-04-25T00:00:00"/>
    <n v="31"/>
    <s v="dunwoody"/>
    <s v="GA"/>
    <n v="60061"/>
    <s v="US"/>
    <s v="Confirm"/>
    <s v="M"/>
    <s v="None"/>
    <m/>
    <m/>
    <m/>
    <m/>
    <m/>
    <s v="Just Jewish"/>
    <m/>
    <s v="Yes"/>
    <s v="Yes"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s v="Camp Horizon"/>
    <m/>
    <m/>
    <m/>
    <s v="No"/>
    <m/>
    <m/>
    <s v="Product Surveillance for Surgical Devices"/>
    <s v="I have over 50 pairs of shoes."/>
    <s v="Fruit Snacks"/>
    <m/>
    <s v="Yes"/>
  </r>
  <r>
    <x v="0"/>
    <n v="46954137"/>
    <d v="2024-03-27T09:44:00"/>
    <s v="Rosenbaum"/>
    <s v="Early Bird Ticket"/>
    <m/>
    <n v="99"/>
    <n v="104.51"/>
    <n v="5.52"/>
    <s v="Female"/>
    <d v="1985-04-01T00:00:00"/>
    <n v="39"/>
    <s v="Decatur"/>
    <s v="GA"/>
    <n v="30329"/>
    <s v="US"/>
    <s v="Confirm"/>
    <s v="M"/>
    <s v="None"/>
    <m/>
    <m/>
    <m/>
    <m/>
    <m/>
    <s v="Reform"/>
    <m/>
    <s v="Yes"/>
    <m/>
    <m/>
    <m/>
    <m/>
    <m/>
    <m/>
    <m/>
    <m/>
    <m/>
    <m/>
    <s v="Yes"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  <m/>
    <s v="Yes"/>
    <m/>
    <m/>
    <m/>
    <m/>
    <s v="No"/>
    <m/>
    <m/>
    <s v="Birthright coordinator"/>
    <s v="I play in a pickleball league."/>
    <s v="Soft pretzel"/>
    <m/>
    <s v="Yes"/>
  </r>
  <r>
    <x v="0"/>
    <n v="49310146"/>
    <d v="2024-06-05T20:41:00"/>
    <s v="Schechter Li"/>
    <s v="Standard Ticket"/>
    <m/>
    <n v="149"/>
    <n v="157.08000000000001"/>
    <n v="8.08"/>
    <s v="Female"/>
    <d v="1991-10-09T00:00:00"/>
    <n v="32"/>
    <s v="Atlanta"/>
    <s v="GA"/>
    <n v="33180"/>
    <s v="US"/>
    <s v="Confirm"/>
    <s v="L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s v="Yes"/>
    <s v="Yes"/>
    <m/>
    <s v="Nike Tennis Camp, Cayuga"/>
    <m/>
    <m/>
    <m/>
    <s v="No"/>
    <m/>
    <m/>
    <s v="Consulting"/>
    <s v="I’ve fostered over 30 foster cats with Atlanta Humane Society"/>
    <s v="Pizza"/>
    <m/>
    <s v="Yes"/>
  </r>
  <r>
    <x v="0"/>
    <n v="48219961"/>
    <d v="2024-04-30T20:27:00"/>
    <s v="Schron"/>
    <s v="Early Bird Ticket"/>
    <m/>
    <n v="99"/>
    <n v="105.11"/>
    <n v="6.11"/>
    <s v="Male"/>
    <d v="1993-04-19T00:00:00"/>
    <n v="31"/>
    <s v="Greenville"/>
    <s v="SC"/>
    <n v="30338"/>
    <s v="US"/>
    <s v="Confirm"/>
    <s v="M"/>
    <s v="Dairy-fre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s v="Yes"/>
    <s v="Yes"/>
    <m/>
    <s v="Julian Krinsky tennis camp at Haverford College for four summers"/>
    <m/>
    <m/>
    <m/>
    <s v="No"/>
    <m/>
    <m/>
    <s v="Product Lead for Data Science"/>
    <s v="I’m half South African!"/>
    <s v="Brownie"/>
    <s v="Love Judaism, my family, and close friends."/>
    <s v="Yes"/>
  </r>
  <r>
    <x v="0"/>
    <n v="48172935"/>
    <d v="2024-04-29T13:25:00"/>
    <s v="Shambaugh"/>
    <s v="Early Bird Ticket"/>
    <m/>
    <n v="99"/>
    <n v="104.81"/>
    <n v="5.81"/>
    <s v="Female"/>
    <d v="1996-03-30T00:00:00"/>
    <n v="28"/>
    <s v="Tucker"/>
    <s v="GA"/>
    <n v="30328"/>
    <s v="US"/>
    <s v="Confirm"/>
    <s v="S"/>
    <s v="None"/>
    <m/>
    <m/>
    <m/>
    <m/>
    <m/>
    <s v="Reconstructionist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s v="Yes"/>
    <m/>
    <m/>
    <m/>
    <m/>
    <s v="No"/>
    <m/>
    <m/>
    <s v="Data Analyst and Jewish Teacher"/>
    <s v="I study Kabbalah and Jewish folk magic!"/>
    <s v="Flamin Hot Cheetos"/>
    <m/>
    <s v="Yes"/>
  </r>
  <r>
    <x v="0"/>
    <n v="49132863"/>
    <d v="2024-05-30T21:04:00"/>
    <s v="Shartilov"/>
    <s v="Early Bird Ticket"/>
    <m/>
    <n v="99"/>
    <n v="210.22"/>
    <n v="12.22"/>
    <s v="Female"/>
    <d v="1996-02-20T00:00:00"/>
    <n v="28"/>
    <s v="johns creek"/>
    <s v="GA"/>
    <n v="30318"/>
    <s v="US"/>
    <s v="Confirm"/>
    <s v="M"/>
    <s v="Non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s v="Yes"/>
    <m/>
    <s v="Barney"/>
    <m/>
    <m/>
    <m/>
    <s v="No"/>
    <m/>
    <m/>
    <s v="Registered nurse"/>
    <s v="I like reality tv"/>
    <s v="Chocolate covered almonds"/>
    <s v="I'm cool and fun 😁"/>
    <s v="Yes"/>
  </r>
  <r>
    <x v="0"/>
    <n v="49132863"/>
    <d v="2024-05-30T21:04:00"/>
    <s v="Shartilov"/>
    <s v="Early Bird Ticket"/>
    <m/>
    <n v="99"/>
    <n v="210.22"/>
    <n v="12.22"/>
    <s v="Male"/>
    <d v="1991-05-15T00:00:00"/>
    <n v="32"/>
    <s v="Tampa"/>
    <s v="FL"/>
    <n v="30309"/>
    <s v="US"/>
    <s v="Confirm"/>
    <s v="M"/>
    <s v="None"/>
    <m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s v="Yes"/>
    <m/>
    <m/>
    <s v="Camp alterman"/>
    <m/>
    <m/>
    <m/>
    <s v="No"/>
    <m/>
    <m/>
    <s v="Restaurant manager"/>
    <s v="I lift weights"/>
    <s v="Kettle korn"/>
    <s v="I'm cool and fun 😁"/>
    <s v="Yes"/>
  </r>
  <r>
    <x v="0"/>
    <n v="48607375"/>
    <d v="2024-05-12T14:26:00"/>
    <s v="Sherman-Jones"/>
    <s v="Early Bird Ticket"/>
    <s v="HMIDAYCAMP"/>
    <n v="99"/>
    <n v="134.36000000000001"/>
    <n v="8.36"/>
    <s v="Female"/>
    <d v="1994-11-03T00:00:00"/>
    <n v="29"/>
    <s v="Columbia"/>
    <s v="SC"/>
    <n v="29204"/>
    <s v="US"/>
    <s v="Confirm"/>
    <s v="M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s v="Yes"/>
    <m/>
    <m/>
    <s v="Yes"/>
    <m/>
    <m/>
    <m/>
    <m/>
    <m/>
    <m/>
    <m/>
    <m/>
    <m/>
    <s v="Yes"/>
    <m/>
    <s v="Camp Tamarack"/>
    <m/>
    <m/>
    <m/>
    <s v="No"/>
    <m/>
    <m/>
    <s v="Communications Manager"/>
    <s v="I used to do improv comedy"/>
    <s v="Snickers"/>
    <m/>
    <s v="Yes"/>
  </r>
  <r>
    <x v="0"/>
    <n v="48341697"/>
    <d v="2024-05-03T23:35:00"/>
    <s v="Shifrin"/>
    <s v="Early Bird Ticket"/>
    <m/>
    <n v="99"/>
    <n v="104.81"/>
    <n v="5.81"/>
    <s v="Female"/>
    <d v="1994-01-25T00:00:00"/>
    <n v="30"/>
    <s v="Atlanta"/>
    <s v="GA"/>
    <n v="30329"/>
    <s v="US"/>
    <s v="Confirm"/>
    <s v="L"/>
    <s v="None"/>
    <m/>
    <m/>
    <m/>
    <m/>
    <m/>
    <s v="Just Jewish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m/>
    <m/>
    <s v="Camp alterman"/>
    <m/>
    <m/>
    <m/>
    <s v="No"/>
    <m/>
    <m/>
    <m/>
    <m/>
    <m/>
    <m/>
    <s v="Yes"/>
  </r>
  <r>
    <x v="0"/>
    <n v="49022759"/>
    <d v="2024-05-26T11:51:00"/>
    <s v="Solhtalab"/>
    <s v="Early Bird Ticket"/>
    <m/>
    <n v="99"/>
    <n v="209.62"/>
    <n v="11.62"/>
    <s v="Male"/>
    <d v="1988-10-04T00:00:00"/>
    <n v="35"/>
    <s v="Avondale Estates"/>
    <s v="GA"/>
    <n v="30328"/>
    <s v="US"/>
    <s v="Confirm"/>
    <s v="S"/>
    <s v="None"/>
    <m/>
    <m/>
    <m/>
    <m/>
    <m/>
    <s v="I'm not Jewish"/>
    <s v="Looks like a fun event with a rich community. And I used to work with Carine @ LivingSocial :-)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s v="Yes"/>
    <m/>
    <s v="UVA Summer Enrichment Program (SEP) as a participant2x, LivingSocial Summer Camp as staff (participant 1x, staff 3x)"/>
    <s v="Carine"/>
    <m/>
    <m/>
    <s v="No"/>
    <m/>
    <m/>
    <s v="Not working right now; background in consulting, tutoring, events, and ropes courses"/>
    <s v="I'm a licensed skydiver. I also have sugar gliders as pets; as &quot;pocket pets,&quot; I *could* actually bring them to camp. People usually get a real kick out of them."/>
    <s v="Ugh (or should I say &quot;oy vey!&quot;), everything. Trying to *not* eat late at night; but legit, right now, all da foods. Preference for &quot;aussie bites&quot; since they're at least healthier."/>
    <s v="I'm not Jewish. Actually, I'm not really &quot;religious&quot;. My views are very pluralistic and inclusive though; if I *had* to put a label on myself, this most resonates: https://lotus.org/explore/the-all-faiths-yantra"/>
    <s v="Yes"/>
  </r>
  <r>
    <x v="0"/>
    <n v="46954621"/>
    <d v="2024-03-27T10:05:00"/>
    <s v="Sonnenberg"/>
    <s v="Early Bird Ticket"/>
    <s v="PRESALE24"/>
    <n v="99"/>
    <n v="0"/>
    <n v="0"/>
    <s v="Female"/>
    <d v="1989-03-16T00:00:00"/>
    <n v="35"/>
    <s v="Atlanta"/>
    <s v="GA"/>
    <n v="30022"/>
    <s v="US"/>
    <s v="Confirm"/>
    <s v="S"/>
    <s v="None"/>
    <m/>
    <m/>
    <m/>
    <m/>
    <m/>
    <s v="Conservative"/>
    <m/>
    <s v="Yes"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s v="Yes"/>
    <m/>
    <s v="Louise"/>
    <m/>
    <m/>
    <m/>
    <s v="No"/>
    <m/>
    <m/>
    <s v="Supply Chain Manager"/>
    <s v="Been to 30+ countries"/>
    <s v="Popcorn"/>
    <m/>
    <s v="Yes"/>
  </r>
  <r>
    <x v="0"/>
    <n v="46951163"/>
    <d v="2024-03-27T01:54:00"/>
    <s v="Varshavskiy"/>
    <s v="Early Bird Ticket"/>
    <m/>
    <n v="99"/>
    <n v="104.51"/>
    <n v="5.52"/>
    <s v="Male"/>
    <d v="1994-11-29T00:00:00"/>
    <n v="29"/>
    <s v="Philadelphia"/>
    <s v="PA"/>
    <n v="29451"/>
    <s v="US"/>
    <s v="Confirm"/>
    <s v="S"/>
    <s v="None"/>
    <m/>
    <m/>
    <m/>
    <m/>
    <m/>
    <s v="Culturally Jewish"/>
    <m/>
    <s v="Yes"/>
    <s v="Yes"/>
    <m/>
    <m/>
    <m/>
    <m/>
    <m/>
    <m/>
    <m/>
    <m/>
    <m/>
    <m/>
    <m/>
    <m/>
    <m/>
    <m/>
    <m/>
    <m/>
    <m/>
    <m/>
    <s v="Yes"/>
    <m/>
    <m/>
    <s v="Yes"/>
    <s v="Yes"/>
    <m/>
    <m/>
    <m/>
    <m/>
    <m/>
    <m/>
    <m/>
    <m/>
    <m/>
    <m/>
    <m/>
    <m/>
    <m/>
    <m/>
    <m/>
    <m/>
    <m/>
    <m/>
    <m/>
    <m/>
    <s v="Yes"/>
    <m/>
    <m/>
    <m/>
    <m/>
    <s v="No"/>
    <m/>
    <m/>
    <s v="Software Engineer"/>
    <s v="I've been to both the north-most and south-most point of the United States!"/>
    <s v="Orange"/>
    <m/>
    <s v="Yes"/>
  </r>
  <r>
    <x v="0"/>
    <n v="48429427"/>
    <d v="2024-05-06T17:38:00"/>
    <s v="WARREN"/>
    <s v="Standard Ticket"/>
    <s v="WAFFLES"/>
    <n v="99"/>
    <n v="105.11"/>
    <n v="6.11"/>
    <s v="Female"/>
    <d v="1995-04-02T00:00:00"/>
    <n v="29"/>
    <s v="Atlanta"/>
    <s v="GA"/>
    <n v="30341"/>
    <s v="US"/>
    <s v="Confirm"/>
    <s v="M"/>
    <s v="None"/>
    <m/>
    <m/>
    <m/>
    <m/>
    <m/>
    <s v="Reform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s v="Yes"/>
    <s v="Yes"/>
    <m/>
    <s v="Tamarack Camp, JCC Day Camp, Camp Merr-Mac"/>
    <m/>
    <m/>
    <m/>
    <s v="No"/>
    <m/>
    <m/>
    <s v="Film Production Coordinator &amp; Small Business Owner"/>
    <s v="I sparkle people! (Fairy Hair)"/>
    <s v="Ice cream"/>
    <s v="Excited to go back to camp! 🏕️"/>
    <s v="Yes"/>
  </r>
  <r>
    <x v="0"/>
    <n v="49159964"/>
    <d v="2024-05-31T17:18:00"/>
    <s v="Yordon"/>
    <s v="Early Bird Ticket"/>
    <m/>
    <n v="99"/>
    <n v="105.11"/>
    <n v="6.11"/>
    <s v="Female"/>
    <d v="1990-01-08T00:00:00"/>
    <n v="34"/>
    <s v="Atlanta"/>
    <s v="GA"/>
    <n v="30319"/>
    <s v="US"/>
    <s v="Confirm"/>
    <s v="L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m/>
    <m/>
    <m/>
    <m/>
    <m/>
    <s v="Yes"/>
    <s v="Yes"/>
    <m/>
    <m/>
    <m/>
    <m/>
    <m/>
    <m/>
    <m/>
    <m/>
    <m/>
    <m/>
    <m/>
    <m/>
    <m/>
    <m/>
    <m/>
    <m/>
    <m/>
    <m/>
    <s v="Yes"/>
    <m/>
    <m/>
    <m/>
    <m/>
    <s v="No"/>
    <m/>
    <m/>
    <s v="Human Resources"/>
    <s v="Played clarinet in college marching band"/>
    <s v="Ice cream"/>
    <m/>
    <s v="Yes"/>
  </r>
  <r>
    <x v="0"/>
    <n v="49842551"/>
    <d v="2024-06-25T13:43:00"/>
    <s v="Haskal"/>
    <s v="Standard Ticket"/>
    <m/>
    <n v="149"/>
    <n v="157.53"/>
    <n v="8.5299999999999994"/>
    <s v="Male"/>
    <d v="1994-02-23T00:00:00"/>
    <n v="30"/>
    <s v="Atlanta"/>
    <s v="GA"/>
    <n v="8560"/>
    <s v="US"/>
    <s v="Confirm"/>
    <s v="L"/>
    <s v="None"/>
    <m/>
    <m/>
    <m/>
    <m/>
    <m/>
    <s v="Just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YMCA"/>
    <s v="Bahareh Aghajani"/>
    <m/>
    <m/>
    <s v="No"/>
    <m/>
    <m/>
    <s v="Business Owner"/>
    <s v="I love to cook"/>
    <s v="Chocolate"/>
    <s v="Here for a memorable experience!"/>
    <s v="Yes"/>
    <m/>
    <s v="YMCA"/>
    <s v="Bahareh Aghajani"/>
    <m/>
    <m/>
    <s v="No"/>
    <m/>
    <m/>
    <s v="Business Owner"/>
    <s v="I love to cook"/>
    <s v="Chocolate"/>
    <s v="Here for a memorable experience!"/>
    <s v="Yes"/>
    <m/>
  </r>
  <r>
    <x v="0"/>
    <n v="49907271"/>
    <d v="2024-06-27T20:48:00"/>
    <s v="Barrow"/>
    <s v="Standard Ticket"/>
    <m/>
    <n v="149"/>
    <n v="157.08000000000001"/>
    <n v="8.08"/>
    <s v="Female"/>
    <d v="1995-09-07T00:00:00"/>
    <n v="28"/>
    <s v="Marietta"/>
    <s v="GA"/>
    <n v="30338"/>
    <s v="US"/>
    <s v="Confirm"/>
    <s v="L"/>
    <s v="Other"/>
    <s v="No beef/pork"/>
    <m/>
    <m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Camp Evergreen (as camper), Pine Forest (as counselor)"/>
    <m/>
    <m/>
    <m/>
    <s v="No"/>
    <m/>
    <m/>
    <m/>
    <m/>
    <m/>
    <m/>
    <s v="Yes"/>
    <m/>
    <m/>
    <m/>
    <m/>
    <m/>
    <m/>
    <m/>
    <m/>
    <m/>
    <m/>
    <m/>
    <m/>
    <m/>
    <m/>
  </r>
  <r>
    <x v="0"/>
    <n v="49917812"/>
    <d v="2024-06-28T10:27:00"/>
    <s v="Rieder"/>
    <s v="Standard Ticket"/>
    <m/>
    <n v="149"/>
    <n v="157.08000000000001"/>
    <n v="8.08"/>
    <s v="Male"/>
    <d v="1990-10-28T00:00:00"/>
    <n v="33"/>
    <s v="Aventura"/>
    <s v="FL"/>
    <n v="30308"/>
    <s v="US"/>
    <s v="Confirm"/>
    <s v="XXL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Elizabeth Schechter"/>
    <m/>
    <m/>
    <s v="No"/>
    <m/>
    <m/>
    <m/>
    <m/>
    <m/>
    <m/>
    <s v="Yes"/>
    <m/>
    <m/>
    <m/>
    <m/>
    <m/>
    <m/>
    <m/>
    <m/>
    <m/>
    <m/>
    <m/>
    <m/>
    <m/>
    <m/>
  </r>
  <r>
    <x v="0"/>
    <n v="49935652"/>
    <d v="2024-06-28T17:42:00"/>
    <s v="Garber"/>
    <s v="Standard Ticket"/>
    <m/>
    <n v="149"/>
    <n v="157.08000000000001"/>
    <n v="8.08"/>
    <s v="Male"/>
    <d v="1989-10-24T00:00:00"/>
    <n v="34"/>
    <s v="Alpharetta"/>
    <s v="GA"/>
    <n v="30342"/>
    <s v="US"/>
    <s v="Confirm"/>
    <s v="M"/>
    <s v="None"/>
    <m/>
    <m/>
    <s v="Jordan Laufer"/>
    <m/>
    <m/>
    <s v="Culturally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No"/>
    <m/>
    <m/>
    <s v="Poker Player"/>
    <s v="Big into bodybuilding and nutrition"/>
    <s v="A handful of shredded cheese right from the bag, bonus points if I look like a goblin from getting out of bed at midnight"/>
    <s v="$8 in &quot;processing fees&quot; is nuts u feel me lmao"/>
    <s v="Yes"/>
    <m/>
    <m/>
    <m/>
    <m/>
    <m/>
    <m/>
    <m/>
    <m/>
    <m/>
    <m/>
    <m/>
    <m/>
    <m/>
    <m/>
  </r>
  <r>
    <x v="0"/>
    <n v="50025899"/>
    <d v="2024-06-30T21:36:00"/>
    <s v="Steingold"/>
    <s v="Standard Ticket"/>
    <m/>
    <n v="149"/>
    <n v="157.08000000000001"/>
    <n v="8.08"/>
    <s v="Female"/>
    <d v="1997-01-24T00:00:00"/>
    <n v="27"/>
    <s v="Atlanta"/>
    <s v="GA"/>
    <n v="30033"/>
    <s v="US"/>
    <s v="Confirm"/>
    <s v="S"/>
    <s v="Vegetarian"/>
    <m/>
    <m/>
    <m/>
    <m/>
    <m/>
    <s v="Just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Camp Coleman, In the City Camp"/>
    <m/>
    <s v="CTeen"/>
    <m/>
    <s v="No"/>
    <m/>
    <m/>
    <s v="Sales for Yom Ice Cream Company"/>
    <s v="Fluent in French"/>
    <s v="Ice cream"/>
    <m/>
    <s v="Yes"/>
    <m/>
    <m/>
    <m/>
    <m/>
    <m/>
    <m/>
    <m/>
    <m/>
    <m/>
    <m/>
    <m/>
    <m/>
    <m/>
    <m/>
  </r>
  <r>
    <x v="0"/>
    <n v="50115721"/>
    <d v="2024-07-04T09:00:00"/>
    <s v="Machluf"/>
    <s v="Standard Ticket"/>
    <m/>
    <n v="149"/>
    <n v="314.16000000000003"/>
    <n v="16.16"/>
    <s v="Female"/>
    <d v="1983-03-20T00:00:00"/>
    <n v="41"/>
    <s v="Atlanta"/>
    <s v="GA"/>
    <s v="30341-1421"/>
    <s v="US"/>
    <s v="Confirm"/>
    <s v="M"/>
    <s v="None"/>
    <m/>
    <m/>
    <m/>
    <m/>
    <m/>
    <s v="Just Jewish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s v="Yes"/>
    <m/>
    <m/>
    <s v="Camp Gan Israel in Ft. Lauderdale/Sunrise FL"/>
    <m/>
    <m/>
    <m/>
    <s v="No"/>
    <m/>
    <m/>
    <s v="College professor"/>
    <s v="I recently rediscovered my love for reading and it’s my favorite thing to do to escape reality"/>
    <s v="Israeli olives"/>
    <m/>
    <s v="Yes"/>
    <m/>
    <m/>
    <m/>
    <m/>
    <m/>
    <m/>
    <m/>
    <m/>
    <m/>
    <m/>
    <m/>
    <m/>
    <m/>
    <m/>
  </r>
  <r>
    <x v="0"/>
    <n v="50115721"/>
    <d v="2024-07-04T09:00:00"/>
    <s v="Sellers"/>
    <s v="Standard Ticket"/>
    <m/>
    <n v="149"/>
    <n v="314.16000000000003"/>
    <n v="16.16"/>
    <s v="Male"/>
    <d v="1984-07-08T00:00:00"/>
    <n v="40"/>
    <s v="Atlanta"/>
    <s v="GA"/>
    <n v="30022"/>
    <s v="US"/>
    <s v="Confirm"/>
    <s v="L"/>
    <s v="None"/>
    <m/>
    <m/>
    <m/>
    <m/>
    <m/>
    <s v="I'm not Jewish"/>
    <s v="My wife is Israeli and Jewish, and she’s attending. We’re culturally Jewish in our home with our family.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Karin Machluf"/>
    <m/>
    <m/>
    <s v="No"/>
    <m/>
    <m/>
    <s v="College professor"/>
    <s v="I threw discus and javelin in college"/>
    <s v="Ice cream"/>
    <m/>
    <s v="Yes"/>
    <m/>
    <m/>
    <m/>
    <m/>
    <m/>
    <m/>
    <m/>
    <m/>
    <m/>
    <m/>
    <m/>
    <m/>
    <m/>
    <m/>
  </r>
  <r>
    <x v="0"/>
    <n v="50129470"/>
    <s v="7/4/24 17:30"/>
    <s v="Turner"/>
    <s v="Standard Ticket"/>
    <m/>
    <n v="149"/>
    <n v="157.08000000000001"/>
    <n v="8.08"/>
    <s v="Female"/>
    <d v="2002-04-29T00:00:00"/>
    <n v="22"/>
    <s v="Somerdale"/>
    <s v="NJ"/>
    <n v="30084"/>
    <s v="US"/>
    <s v="Confirm"/>
    <s v="XL"/>
    <s v="None"/>
    <m/>
    <m/>
    <m/>
    <m/>
    <m/>
    <s v="Conservative"/>
    <m/>
    <s v="Yes"/>
    <s v="Yes"/>
    <m/>
    <m/>
    <m/>
    <m/>
    <m/>
    <m/>
    <m/>
    <m/>
    <m/>
    <m/>
    <m/>
    <m/>
    <m/>
    <m/>
    <m/>
    <m/>
    <m/>
    <m/>
    <m/>
    <m/>
    <m/>
    <m/>
    <m/>
    <s v="Yes"/>
    <s v="Yes"/>
    <m/>
    <m/>
    <m/>
    <s v="Yes"/>
    <m/>
    <s v="ramah darom, camp barney"/>
    <m/>
    <m/>
    <m/>
    <s v="No"/>
    <m/>
    <m/>
    <s v="Journalist"/>
    <s v="My favorite way to travel is cruises"/>
    <s v="Milk and cookies"/>
    <m/>
    <s v="Yes"/>
    <m/>
    <m/>
    <m/>
    <m/>
    <m/>
    <m/>
    <m/>
    <m/>
    <m/>
    <m/>
    <m/>
    <m/>
    <m/>
    <m/>
  </r>
  <r>
    <x v="0"/>
    <n v="50134321"/>
    <s v="7/4/24 20:36"/>
    <s v="Stronen"/>
    <s v="Standard Ticket"/>
    <m/>
    <n v="149"/>
    <n v="157.53"/>
    <n v="8.5299999999999994"/>
    <s v="Male"/>
    <d v="1986-04-09T00:00:00"/>
    <n v="38"/>
    <s v="dunwoody"/>
    <s v="GA"/>
    <n v="29403"/>
    <s v="US"/>
    <s v="Confirm"/>
    <s v="M"/>
    <s v="Vegan, Kosher, Gluten-free, Dairy-free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No"/>
    <m/>
    <m/>
    <s v="Lead Electrical Engineer"/>
    <s v="I recently won a pickleball tournament."/>
    <s v="Honey crisp Apples"/>
    <m/>
    <s v="Yes"/>
    <m/>
    <m/>
    <m/>
    <m/>
    <m/>
    <m/>
    <m/>
    <m/>
    <m/>
    <m/>
    <m/>
    <m/>
    <m/>
    <m/>
  </r>
  <r>
    <x v="0"/>
    <n v="50165284"/>
    <d v="2024-07-05T22:53:00"/>
    <s v="Deutsch"/>
    <s v="Standard Ticket"/>
    <m/>
    <n v="149"/>
    <n v="157.08000000000001"/>
    <n v="8.08"/>
    <s v="Male"/>
    <d v="1986-06-22T00:00:00"/>
    <n v="37"/>
    <s v="Marietta"/>
    <s v="GA"/>
    <n v="90804"/>
    <s v="US"/>
    <s v="Confirm"/>
    <s v="XL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s v="Yes"/>
    <s v="Yes"/>
    <m/>
    <s v="Camp Nebagamon"/>
    <m/>
    <m/>
    <m/>
    <s v="No"/>
    <m/>
    <m/>
    <s v="Data Consultant"/>
    <s v="I was a (re)founding father of my campus’s AEPi chapter."/>
    <s v="A little bit of ice cream"/>
    <s v="I was a camp counselor for five summers."/>
    <s v="Yes"/>
    <m/>
    <m/>
    <m/>
    <m/>
    <m/>
    <m/>
    <m/>
    <m/>
    <m/>
    <m/>
    <m/>
    <m/>
    <m/>
    <m/>
  </r>
  <r>
    <x v="0"/>
    <n v="50178989"/>
    <d v="2024-07-06T14:45:00"/>
    <s v="Krupp"/>
    <s v="Standard Ticket"/>
    <m/>
    <n v="149"/>
    <n v="157.08000000000001"/>
    <n v="8.08"/>
    <s v="Female"/>
    <d v="1991-09-14T00:00:00"/>
    <n v="32"/>
    <s v="Sandy Springs"/>
    <s v="GA"/>
    <n v="30033"/>
    <s v="US"/>
    <s v="Confirm"/>
    <s v="S"/>
    <s v="Non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Camp Blue Star"/>
    <m/>
    <m/>
    <s v="Jaclyn Turner"/>
    <s v="No"/>
    <m/>
    <m/>
    <s v="Tech Sales"/>
    <s v="I have a dog named Ginger who looks like a 🦊"/>
    <s v="Deli meat turkey roll ups with cheese"/>
    <s v="I’m excited for pickleball"/>
    <s v="Yes"/>
    <m/>
    <m/>
    <m/>
    <m/>
    <m/>
    <m/>
    <m/>
    <m/>
    <m/>
    <m/>
    <m/>
    <m/>
    <m/>
    <m/>
  </r>
  <r>
    <x v="0"/>
    <n v="50198448"/>
    <d v="2024-07-07T14:20:00"/>
    <s v="Raileanu"/>
    <s v="Standard Ticket"/>
    <m/>
    <n v="149"/>
    <n v="157.08000000000001"/>
    <n v="8.08"/>
    <s v="Female"/>
    <d v="1992-12-31T00:00:00"/>
    <n v="31"/>
    <s v="LaGrange"/>
    <s v="GA"/>
    <s v="29611-5340"/>
    <s v="US"/>
    <s v="Confirm"/>
    <s v="L"/>
    <s v="Dairy-free"/>
    <m/>
    <m/>
    <m/>
    <m/>
    <m/>
    <s v="Reform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OSRUI"/>
    <m/>
    <m/>
    <s v="A cousin"/>
    <s v="No"/>
    <m/>
    <m/>
    <s v="Customer Service"/>
    <m/>
    <s v="Popcorn"/>
    <m/>
    <s v="Yes"/>
    <m/>
    <m/>
    <m/>
    <m/>
    <m/>
    <m/>
    <m/>
    <m/>
    <m/>
    <m/>
    <m/>
    <m/>
    <m/>
    <m/>
  </r>
  <r>
    <x v="0"/>
    <n v="50223659"/>
    <d v="2024-07-08T13:14:00"/>
    <s v="Katler"/>
    <s v="Standard Ticket"/>
    <s v="QUINN2ATL"/>
    <n v="149"/>
    <n v="104.81"/>
    <n v="5.81"/>
    <s v="Male"/>
    <d v="1998-03-21T00:00:00"/>
    <n v="26"/>
    <s v="Atlanta"/>
    <s v="GA"/>
    <n v="30318"/>
    <s v="US"/>
    <s v="Confirm"/>
    <s v="S"/>
    <s v="Vegetarian"/>
    <m/>
    <m/>
    <m/>
    <m/>
    <m/>
    <s v="Conservative"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s v="Yes"/>
    <m/>
    <m/>
    <s v="NA"/>
    <s v="Lillia Prager"/>
    <m/>
    <m/>
    <s v="No"/>
    <m/>
    <m/>
    <s v="Doctor"/>
    <s v="I went to med school in Tel Aviv"/>
    <s v="Ice cream"/>
    <m/>
    <s v="Yes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1EDAB-DB1B-C644-A148-E70C119774EF}" name="Playground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84">
    <pivotField axis="axisRow"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Registration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B3DE8-54BF-E745-8F40-3078845161F3}" name="tblRevenueByCamp" displayName="tblRevenueByCamp" ref="A2:D3" totalsRowShown="0">
  <autoFilter ref="A2:D3" xr:uid="{808B3DE8-54BF-E745-8F40-3078845161F3}"/>
  <tableColumns count="4">
    <tableColumn id="1" xr3:uid="{4A1F4A3E-56A9-8949-BF76-A5E6845EFF13}" name="Camp"/>
    <tableColumn id="2" xr3:uid="{3E8DE6CC-9526-974B-8BB3-73B78C11D402}" name="Revenue Sum" dataDxfId="2"/>
    <tableColumn id="3" xr3:uid="{0F2BD255-6203-DC4B-AEC4-333B7BA04D73}" name="Total Paid Sum" dataDxfId="1"/>
    <tableColumn id="4" xr3:uid="{56A075FC-D737-AE41-8913-9717AC07D23D}" name="Processing &amp; Fees Sum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4F459-F1B6-CE4C-8F87-02432E1884D4}" name="tblCampByAge" displayName="tblCampByAge" ref="A8:S9" totalsRowShown="0">
  <autoFilter ref="A8:S9" xr:uid="{3974F459-F1B6-CE4C-8F87-02432E1884D4}"/>
  <tableColumns count="19">
    <tableColumn id="1" xr3:uid="{D7324A20-3E0F-1845-83CB-2F829133121A}" name="Camp"/>
    <tableColumn id="2" xr3:uid="{323A360A-00B7-CB4C-B252-3E1A7517769A}" name="33"/>
    <tableColumn id="3" xr3:uid="{4994A730-463B-A749-B43A-4C8128F72822}" name="37"/>
    <tableColumn id="4" xr3:uid="{25280D0A-C4F1-974D-B414-5FC4D186F370}" name="39"/>
    <tableColumn id="5" xr3:uid="{04731319-4423-9047-8EB7-9BFEAA2AD4FB}" name="36"/>
    <tableColumn id="6" xr3:uid="{A6608C55-ABA1-404A-881C-B9F13F1B2F02}" name="30"/>
    <tableColumn id="7" xr3:uid="{41F02770-A4E1-9748-B28D-7A0A0CDA7080}" name="28"/>
    <tableColumn id="8" xr3:uid="{D5042FF6-120B-CF44-B7A1-0E442EC3D49C}" name="35"/>
    <tableColumn id="9" xr3:uid="{2CFBF442-B778-3C4B-AF21-E62D5DC501E4}" name="25"/>
    <tableColumn id="10" xr3:uid="{D1A4DEB6-93F7-DF44-AAAE-AF05E9D1583C}" name="27"/>
    <tableColumn id="11" xr3:uid="{B3C66C0D-3226-F045-84D1-DCA460468880}" name="34"/>
    <tableColumn id="12" xr3:uid="{A70A83B6-6230-E348-B5E0-D3E245DBF982}" name="29"/>
    <tableColumn id="13" xr3:uid="{AB0444EC-15B9-FC4D-B11A-565C6F606C97}" name="41"/>
    <tableColumn id="14" xr3:uid="{D5552369-5F88-7D46-AD7C-38DB9CB7CA77}" name="31"/>
    <tableColumn id="15" xr3:uid="{1B8A107A-7C14-E048-9EDC-2FF2A113E6AB}" name="26"/>
    <tableColumn id="16" xr3:uid="{ED15BB2A-1B51-8241-B558-C4AE3EB972F7}" name="38"/>
    <tableColumn id="17" xr3:uid="{0AB95950-2111-B94B-BD72-583F48095022}" name="32"/>
    <tableColumn id="18" xr3:uid="{F80BDE69-AF86-B241-AA8C-27B7B8C7E960}" name="40"/>
    <tableColumn id="19" xr3:uid="{5418D3E5-5E57-AD4B-B3E9-F8067252B238}" name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8266FE-8281-324E-8DCA-A611648DABEF}" name="tblBackgroundByCamp" displayName="tblBackgroundByCamp" ref="A14:G15" totalsRowShown="0">
  <autoFilter ref="A14:G15" xr:uid="{718266FE-8281-324E-8DCA-A611648DABEF}"/>
  <tableColumns count="7">
    <tableColumn id="1" xr3:uid="{EDBF5E86-40FD-EC47-A269-B25989521A2B}" name="Camp"/>
    <tableColumn id="2" xr3:uid="{F4029478-6CC4-ED4F-ABC0-042F6BF8A101}" name="I'm not Jewish"/>
    <tableColumn id="3" xr3:uid="{88FFF634-3A0B-044E-845B-71E0B517C88B}" name="Just Jewish"/>
    <tableColumn id="4" xr3:uid="{A633416F-2A9D-B048-996A-D7880F457D9F}" name="Reform"/>
    <tableColumn id="5" xr3:uid="{BD22EF39-A694-7445-A49C-039AD1C69391}" name="Conservative"/>
    <tableColumn id="6" xr3:uid="{7F65DB04-E578-0546-9B0E-F57CEB58BBE5}" name="Culturally Jewish"/>
    <tableColumn id="7" xr3:uid="{5C3105C2-E154-0743-8953-693F2EE5AF86}" name="Reconstruction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EE1865-1113-724D-92B6-6A06BC557E96}" name="tblPrevCamps" displayName="tblPrevCamps" ref="A20:Z21" totalsRowShown="0">
  <autoFilter ref="A20:Z21" xr:uid="{85EE1865-1113-724D-92B6-6A06BC557E96}"/>
  <tableColumns count="26">
    <tableColumn id="1" xr3:uid="{74DA24AD-4C5C-BA41-98B5-05A44A66CD1E}" name="Camp"/>
    <tableColumn id="2" xr3:uid="{8B21F4E0-B351-C441-9F3B-B99BDF8EA01B}" name="Berkshires 2017"/>
    <tableColumn id="3" xr3:uid="{5F8110E0-5625-CA47-A3FE-4D916DC619EB}" name="Berkshires 2018"/>
    <tableColumn id="4" xr3:uid="{F2AAB26B-7CC6-B84D-8F52-06544E5C20C9}" name="Berkshires 2019"/>
    <tableColumn id="5" xr3:uid="{12EF95A9-6BEF-374C-B33F-353D18307A2D}" name="Berkshires 2021"/>
    <tableColumn id="6" xr3:uid="{71642C86-C3FF-A24E-8D84-01513A82F3D8}" name="Berkshires 2022 Session 1"/>
    <tableColumn id="7" xr3:uid="{C87F3A0F-D50C-A34E-A910-5F6479C8C0DA}" name="Berkshires 2022 Session 2"/>
    <tableColumn id="8" xr3:uid="{FF2F0395-59B8-614C-BBCC-45784031F976}" name="Berkshires 2023 Session 1"/>
    <tableColumn id="9" xr3:uid="{420C19C0-971D-3943-B8FB-78A8BCDB4CC4}" name="Berkshires 2023 Session 2"/>
    <tableColumn id="10" xr3:uid="{72829B9F-2BBE-3747-A4B5-C6503D3595E8}" name="SoCal 2017"/>
    <tableColumn id="11" xr3:uid="{A6D44BFC-1B23-9948-A1E3-FB4A30A87BA0}" name="SoCal 2018"/>
    <tableColumn id="12" xr3:uid="{66D67F20-8686-2D49-B934-0A524CC048BB}" name="SoCal 2019"/>
    <tableColumn id="13" xr3:uid="{96E4AB0B-4295-6342-99E8-42D607471BCF}" name="SoCal 2021"/>
    <tableColumn id="14" xr3:uid="{7213290F-C0D8-F44D-B2D5-1BDA27D30AFF}" name="SoCal 2022"/>
    <tableColumn id="15" xr3:uid="{8ED50207-816F-414F-B6EA-FCE570D44C4C}" name="SoCal 2023"/>
    <tableColumn id="16" xr3:uid="{BEF16AE9-4165-CD46-BA46-8288C9888EB6}" name="Midwest 2018"/>
    <tableColumn id="17" xr3:uid="{2993DCDF-380E-FC48-A52C-0D80D28E546E}" name="Midwest 2019"/>
    <tableColumn id="18" xr3:uid="{BB8C0BE5-A60B-5C4D-9A77-E82FD5A220A9}" name="Midwest 2022"/>
    <tableColumn id="19" xr3:uid="{4A73AAB8-B1D2-C647-A31F-7078433E6788}" name="Midwest 2023"/>
    <tableColumn id="20" xr3:uid="{ABC57F77-6D7C-3C49-9245-EC002DC18F59}" name="Chicago Day Camp 2021"/>
    <tableColumn id="21" xr3:uid="{33B0E262-C187-9D47-B695-E8D2C425F92F}" name="Chicago Day Camp 2023"/>
    <tableColumn id="22" xr3:uid="{A67AAE36-8923-2947-952F-3718D6CFC1BD}" name="Seattle Day Camp 2021"/>
    <tableColumn id="23" xr3:uid="{8E2A3719-86BD-9148-9CE2-CE2045C4C596}" name="Atlanta Day Camp 2021"/>
    <tableColumn id="24" xr3:uid="{64EF9CA8-D90C-C742-A931-F85CC4E5D626}" name="South 2022"/>
    <tableColumn id="25" xr3:uid="{17CC0926-6F9E-1A4D-B2EE-194AA094BF18}" name="LA Day Camp 2022"/>
    <tableColumn id="26" xr3:uid="{70FA270B-EE07-2A47-8829-EE0B5EB4F576}" name="LA Day Camp 20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0E55F-E8B1-E94D-AD3C-67AAF24ECBCB}" name="tblDataDictionary" displayName="tblDataDictionary" ref="A1:D57" totalsRowShown="0" headerRowDxfId="9" dataDxfId="8" tableBorderDxfId="7">
  <autoFilter ref="A1:D57" xr:uid="{6080E55F-E8B1-E94D-AD3C-67AAF24ECBCB}"/>
  <tableColumns count="4">
    <tableColumn id="1" xr3:uid="{9E1C42CD-CA24-9646-9A41-90906D571B59}" name="Field Name" dataDxfId="6"/>
    <tableColumn id="2" xr3:uid="{A41969F4-10AE-AA4C-B982-14498301E059}" name="Description" dataDxfId="5"/>
    <tableColumn id="3" xr3:uid="{58A8975E-3A7E-3D42-95F6-D94F640940B0}" name="Data Type" dataDxfId="4"/>
    <tableColumn id="4" xr3:uid="{6D2B129E-DF76-B14D-B9B8-9783C5E60D7C}" name="Possible Values / Not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B058-3B8E-AD44-B4D9-4572FF6A032B}">
  <sheetPr codeName="Sheet9"/>
  <dimension ref="A1:F6"/>
  <sheetViews>
    <sheetView tabSelected="1" workbookViewId="0">
      <selection sqref="A1:E6"/>
    </sheetView>
  </sheetViews>
  <sheetFormatPr baseColWidth="10" defaultRowHeight="13" x14ac:dyDescent="0.15"/>
  <sheetData>
    <row r="1" spans="1:6" x14ac:dyDescent="0.15">
      <c r="A1" s="27"/>
      <c r="B1" s="27"/>
      <c r="C1" s="27"/>
      <c r="D1" s="27"/>
      <c r="E1" s="27"/>
    </row>
    <row r="2" spans="1:6" ht="23" x14ac:dyDescent="0.15">
      <c r="A2" s="27"/>
      <c r="B2" s="27"/>
      <c r="C2" s="27"/>
      <c r="D2" s="27"/>
      <c r="E2" s="27"/>
      <c r="F2" s="11" t="s">
        <v>607</v>
      </c>
    </row>
    <row r="3" spans="1:6" ht="16" x14ac:dyDescent="0.15">
      <c r="A3" s="27"/>
      <c r="B3" s="27"/>
      <c r="C3" s="27"/>
      <c r="D3" s="27"/>
      <c r="E3" s="27"/>
      <c r="F3" s="12" t="s">
        <v>608</v>
      </c>
    </row>
    <row r="4" spans="1:6" x14ac:dyDescent="0.15">
      <c r="A4" s="27"/>
      <c r="B4" s="27"/>
      <c r="C4" s="27"/>
      <c r="D4" s="27"/>
      <c r="E4" s="27"/>
    </row>
    <row r="5" spans="1:6" x14ac:dyDescent="0.15">
      <c r="A5" s="27"/>
      <c r="B5" s="27"/>
      <c r="C5" s="27"/>
      <c r="D5" s="27"/>
      <c r="E5" s="27"/>
    </row>
    <row r="6" spans="1:6" x14ac:dyDescent="0.15">
      <c r="A6" s="27"/>
      <c r="B6" s="27"/>
      <c r="C6" s="27"/>
      <c r="D6" s="27"/>
      <c r="E6" s="27"/>
    </row>
  </sheetData>
  <mergeCells count="1">
    <mergeCell ref="A1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DFEC-D6A3-004E-9EC7-C8A1B6A14E41}">
  <sheetPr codeName="Sheet8"/>
  <dimension ref="A1:Z21"/>
  <sheetViews>
    <sheetView workbookViewId="0">
      <selection sqref="A1:D1"/>
    </sheetView>
  </sheetViews>
  <sheetFormatPr baseColWidth="10" defaultRowHeight="13" x14ac:dyDescent="0.15"/>
  <cols>
    <col min="1" max="1" width="8.33203125" bestFit="1" customWidth="1"/>
    <col min="2" max="3" width="17.1640625" bestFit="1" customWidth="1"/>
    <col min="4" max="4" width="23.5" bestFit="1" customWidth="1"/>
    <col min="5" max="5" width="17.1640625" bestFit="1" customWidth="1"/>
    <col min="6" max="9" width="26.1640625" bestFit="1" customWidth="1"/>
    <col min="10" max="15" width="13" bestFit="1" customWidth="1"/>
    <col min="16" max="19" width="14.83203125" bestFit="1" customWidth="1"/>
    <col min="20" max="21" width="24" bestFit="1" customWidth="1"/>
    <col min="22" max="23" width="22.83203125" bestFit="1" customWidth="1"/>
    <col min="24" max="24" width="12.83203125" bestFit="1" customWidth="1"/>
    <col min="25" max="26" width="19.33203125" bestFit="1" customWidth="1"/>
  </cols>
  <sheetData>
    <row r="1" spans="1:19" ht="18" x14ac:dyDescent="0.2">
      <c r="A1" s="13" t="s">
        <v>557</v>
      </c>
      <c r="B1" s="14"/>
      <c r="C1" s="14"/>
      <c r="D1" s="14"/>
    </row>
    <row r="2" spans="1:19" x14ac:dyDescent="0.15">
      <c r="A2" t="s">
        <v>0</v>
      </c>
      <c r="B2" t="s">
        <v>558</v>
      </c>
      <c r="C2" t="s">
        <v>559</v>
      </c>
      <c r="D2" t="s">
        <v>560</v>
      </c>
    </row>
    <row r="3" spans="1:19" x14ac:dyDescent="0.15">
      <c r="A3" t="s">
        <v>83</v>
      </c>
      <c r="B3" s="10">
        <v>7734</v>
      </c>
      <c r="C3" s="10">
        <v>8634.4299999999985</v>
      </c>
      <c r="D3" s="10">
        <v>474.45000000000005</v>
      </c>
    </row>
    <row r="7" spans="1:19" ht="18" x14ac:dyDescent="0.2">
      <c r="A7" s="13" t="s">
        <v>561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15">
      <c r="A8" t="s">
        <v>0</v>
      </c>
      <c r="B8" t="s">
        <v>562</v>
      </c>
      <c r="C8" t="s">
        <v>563</v>
      </c>
      <c r="D8" t="s">
        <v>564</v>
      </c>
      <c r="E8" t="s">
        <v>565</v>
      </c>
      <c r="F8" t="s">
        <v>566</v>
      </c>
      <c r="G8" t="s">
        <v>567</v>
      </c>
      <c r="H8" t="s">
        <v>568</v>
      </c>
      <c r="I8" t="s">
        <v>569</v>
      </c>
      <c r="J8" t="s">
        <v>570</v>
      </c>
      <c r="K8" t="s">
        <v>571</v>
      </c>
      <c r="L8" t="s">
        <v>572</v>
      </c>
      <c r="M8" t="s">
        <v>573</v>
      </c>
      <c r="N8" t="s">
        <v>574</v>
      </c>
      <c r="O8" t="s">
        <v>575</v>
      </c>
      <c r="P8" t="s">
        <v>576</v>
      </c>
      <c r="Q8" t="s">
        <v>577</v>
      </c>
      <c r="R8" t="s">
        <v>578</v>
      </c>
      <c r="S8" t="s">
        <v>579</v>
      </c>
    </row>
    <row r="9" spans="1:19" x14ac:dyDescent="0.15">
      <c r="A9" t="s">
        <v>83</v>
      </c>
      <c r="B9">
        <v>5</v>
      </c>
      <c r="C9">
        <v>6</v>
      </c>
      <c r="D9">
        <v>5</v>
      </c>
      <c r="E9">
        <v>2</v>
      </c>
      <c r="F9">
        <v>4</v>
      </c>
      <c r="G9">
        <v>7</v>
      </c>
      <c r="H9">
        <v>3</v>
      </c>
      <c r="I9">
        <v>2</v>
      </c>
      <c r="J9">
        <v>4</v>
      </c>
      <c r="K9">
        <v>5</v>
      </c>
      <c r="L9">
        <v>4</v>
      </c>
      <c r="M9">
        <v>2</v>
      </c>
      <c r="N9">
        <v>7</v>
      </c>
      <c r="O9">
        <v>3</v>
      </c>
      <c r="P9">
        <v>2</v>
      </c>
      <c r="Q9">
        <v>3</v>
      </c>
      <c r="R9">
        <v>1</v>
      </c>
      <c r="S9">
        <v>1</v>
      </c>
    </row>
    <row r="13" spans="1:19" ht="18" x14ac:dyDescent="0.2">
      <c r="A13" s="13" t="s">
        <v>580</v>
      </c>
      <c r="B13" s="14"/>
      <c r="C13" s="14"/>
      <c r="D13" s="14"/>
      <c r="E13" s="14"/>
      <c r="F13" s="14"/>
      <c r="G13" s="14"/>
    </row>
    <row r="14" spans="1:19" x14ac:dyDescent="0.15">
      <c r="A14" t="s">
        <v>0</v>
      </c>
      <c r="B14" t="s">
        <v>93</v>
      </c>
      <c r="C14" t="s">
        <v>105</v>
      </c>
      <c r="D14" t="s">
        <v>116</v>
      </c>
      <c r="E14" t="s">
        <v>124</v>
      </c>
      <c r="F14" t="s">
        <v>139</v>
      </c>
      <c r="G14" t="s">
        <v>356</v>
      </c>
    </row>
    <row r="15" spans="1:19" x14ac:dyDescent="0.15">
      <c r="A15" t="s">
        <v>83</v>
      </c>
      <c r="B15">
        <v>9</v>
      </c>
      <c r="C15">
        <v>9</v>
      </c>
      <c r="D15">
        <v>20</v>
      </c>
      <c r="E15">
        <v>14</v>
      </c>
      <c r="F15">
        <v>13</v>
      </c>
      <c r="G15">
        <v>1</v>
      </c>
    </row>
    <row r="19" spans="1:26" ht="18" x14ac:dyDescent="0.2">
      <c r="A19" s="13" t="s">
        <v>581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15">
      <c r="A20" t="s">
        <v>0</v>
      </c>
      <c r="B20" t="s">
        <v>582</v>
      </c>
      <c r="C20" t="s">
        <v>583</v>
      </c>
      <c r="D20" t="s">
        <v>584</v>
      </c>
      <c r="E20" t="s">
        <v>585</v>
      </c>
      <c r="F20" t="s">
        <v>586</v>
      </c>
      <c r="G20" t="s">
        <v>587</v>
      </c>
      <c r="H20" t="s">
        <v>588</v>
      </c>
      <c r="I20" t="s">
        <v>589</v>
      </c>
      <c r="J20" t="s">
        <v>590</v>
      </c>
      <c r="K20" t="s">
        <v>591</v>
      </c>
      <c r="L20" t="s">
        <v>592</v>
      </c>
      <c r="M20" t="s">
        <v>593</v>
      </c>
      <c r="N20" t="s">
        <v>594</v>
      </c>
      <c r="O20" t="s">
        <v>595</v>
      </c>
      <c r="P20" t="s">
        <v>596</v>
      </c>
      <c r="Q20" t="s">
        <v>597</v>
      </c>
      <c r="R20" t="s">
        <v>598</v>
      </c>
      <c r="S20" t="s">
        <v>599</v>
      </c>
      <c r="T20" t="s">
        <v>600</v>
      </c>
      <c r="U20" t="s">
        <v>601</v>
      </c>
      <c r="V20" t="s">
        <v>602</v>
      </c>
      <c r="W20" t="s">
        <v>603</v>
      </c>
      <c r="X20" t="s">
        <v>604</v>
      </c>
      <c r="Y20" t="s">
        <v>605</v>
      </c>
      <c r="Z20" t="s">
        <v>606</v>
      </c>
    </row>
    <row r="21" spans="1:26" x14ac:dyDescent="0.15">
      <c r="A21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2</v>
      </c>
      <c r="V21">
        <v>1</v>
      </c>
      <c r="W21">
        <v>10</v>
      </c>
      <c r="X21">
        <v>6</v>
      </c>
      <c r="Y21">
        <v>0</v>
      </c>
      <c r="Z21">
        <v>0</v>
      </c>
    </row>
  </sheetData>
  <mergeCells count="4">
    <mergeCell ref="A1:D1"/>
    <mergeCell ref="A7:S7"/>
    <mergeCell ref="A13:G13"/>
    <mergeCell ref="A19:Z1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6F05-005E-7D4D-BA94-42A8A3D02A75}">
  <sheetPr codeName="Sheet7"/>
  <dimension ref="A1:B5"/>
  <sheetViews>
    <sheetView workbookViewId="0"/>
  </sheetViews>
  <sheetFormatPr baseColWidth="10" defaultRowHeight="13" x14ac:dyDescent="0.15"/>
  <cols>
    <col min="1" max="1" width="53.6640625" bestFit="1" customWidth="1"/>
    <col min="2" max="2" width="19.33203125" bestFit="1" customWidth="1"/>
  </cols>
  <sheetData>
    <row r="1" spans="1:2" ht="18" x14ac:dyDescent="0.2">
      <c r="A1" s="8" t="s">
        <v>553</v>
      </c>
    </row>
    <row r="3" spans="1:2" x14ac:dyDescent="0.15">
      <c r="A3" s="9" t="s">
        <v>554</v>
      </c>
      <c r="B3" t="s">
        <v>556</v>
      </c>
    </row>
    <row r="4" spans="1:2" x14ac:dyDescent="0.15">
      <c r="A4" s="6" t="s">
        <v>83</v>
      </c>
      <c r="B4" s="26">
        <v>66</v>
      </c>
    </row>
    <row r="5" spans="1:2" x14ac:dyDescent="0.15">
      <c r="A5" s="6" t="s">
        <v>555</v>
      </c>
      <c r="B5" s="26">
        <v>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BEC-89A5-E946-96E1-B4EEF1D820BB}">
  <sheetPr codeName="Sheet2"/>
  <dimension ref="A1:D5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3" x14ac:dyDescent="0.15"/>
  <cols>
    <col min="1" max="1" width="45.83203125" style="1" customWidth="1"/>
    <col min="2" max="2" width="44.1640625" style="1" bestFit="1" customWidth="1"/>
    <col min="3" max="3" width="13.6640625" bestFit="1" customWidth="1"/>
    <col min="4" max="4" width="34" style="1" bestFit="1" customWidth="1"/>
  </cols>
  <sheetData>
    <row r="1" spans="1:4" ht="24" customHeight="1" x14ac:dyDescent="0.15">
      <c r="A1" s="2" t="s">
        <v>476</v>
      </c>
      <c r="B1" s="2" t="s">
        <v>477</v>
      </c>
      <c r="C1" s="3" t="s">
        <v>478</v>
      </c>
      <c r="D1" s="2" t="s">
        <v>479</v>
      </c>
    </row>
    <row r="2" spans="1:4" ht="16" x14ac:dyDescent="0.15">
      <c r="A2" s="4" t="s">
        <v>0</v>
      </c>
      <c r="B2" s="4" t="s">
        <v>480</v>
      </c>
      <c r="C2" s="5" t="s">
        <v>481</v>
      </c>
      <c r="D2" s="4" t="s">
        <v>482</v>
      </c>
    </row>
    <row r="3" spans="1:4" ht="16" x14ac:dyDescent="0.15">
      <c r="A3" s="4" t="s">
        <v>1</v>
      </c>
      <c r="B3" s="4" t="s">
        <v>483</v>
      </c>
      <c r="C3" s="5" t="s">
        <v>484</v>
      </c>
      <c r="D3" s="4" t="s">
        <v>485</v>
      </c>
    </row>
    <row r="4" spans="1:4" ht="16" x14ac:dyDescent="0.15">
      <c r="A4" s="4" t="s">
        <v>2</v>
      </c>
      <c r="B4" s="4" t="s">
        <v>486</v>
      </c>
      <c r="C4" s="5" t="s">
        <v>475</v>
      </c>
      <c r="D4" s="4" t="s">
        <v>487</v>
      </c>
    </row>
    <row r="5" spans="1:4" ht="16" x14ac:dyDescent="0.15">
      <c r="A5" s="4" t="s">
        <v>3</v>
      </c>
      <c r="B5" s="4" t="s">
        <v>488</v>
      </c>
      <c r="C5" s="5" t="s">
        <v>481</v>
      </c>
      <c r="D5" s="4" t="s">
        <v>181</v>
      </c>
    </row>
    <row r="6" spans="1:4" ht="16" x14ac:dyDescent="0.15">
      <c r="A6" s="4" t="s">
        <v>4</v>
      </c>
      <c r="B6" s="4" t="s">
        <v>489</v>
      </c>
      <c r="C6" s="5" t="s">
        <v>490</v>
      </c>
      <c r="D6" s="4" t="s">
        <v>181</v>
      </c>
    </row>
    <row r="7" spans="1:4" ht="16" x14ac:dyDescent="0.15">
      <c r="A7" s="4" t="s">
        <v>5</v>
      </c>
      <c r="B7" s="4" t="s">
        <v>491</v>
      </c>
      <c r="C7" s="5" t="s">
        <v>481</v>
      </c>
      <c r="D7" s="4" t="s">
        <v>492</v>
      </c>
    </row>
    <row r="8" spans="1:4" ht="16" x14ac:dyDescent="0.15">
      <c r="A8" s="4" t="s">
        <v>6</v>
      </c>
      <c r="B8" s="4" t="s">
        <v>493</v>
      </c>
      <c r="C8" s="5" t="s">
        <v>490</v>
      </c>
      <c r="D8" s="4" t="s">
        <v>181</v>
      </c>
    </row>
    <row r="9" spans="1:4" ht="16" x14ac:dyDescent="0.15">
      <c r="A9" s="4" t="s">
        <v>7</v>
      </c>
      <c r="B9" s="4" t="s">
        <v>494</v>
      </c>
      <c r="C9" s="5" t="s">
        <v>495</v>
      </c>
      <c r="D9" s="4" t="s">
        <v>181</v>
      </c>
    </row>
    <row r="10" spans="1:4" ht="16" x14ac:dyDescent="0.15">
      <c r="A10" s="4" t="s">
        <v>8</v>
      </c>
      <c r="B10" s="4" t="s">
        <v>496</v>
      </c>
      <c r="C10" s="5" t="s">
        <v>495</v>
      </c>
      <c r="D10" s="4" t="s">
        <v>181</v>
      </c>
    </row>
    <row r="11" spans="1:4" ht="16" x14ac:dyDescent="0.15">
      <c r="A11" s="4" t="s">
        <v>9</v>
      </c>
      <c r="B11" s="4" t="s">
        <v>497</v>
      </c>
      <c r="C11" s="5" t="s">
        <v>481</v>
      </c>
      <c r="D11" s="4" t="s">
        <v>498</v>
      </c>
    </row>
    <row r="12" spans="1:4" ht="16" x14ac:dyDescent="0.15">
      <c r="A12" s="4" t="s">
        <v>10</v>
      </c>
      <c r="B12" s="4" t="s">
        <v>499</v>
      </c>
      <c r="C12" s="5" t="s">
        <v>475</v>
      </c>
      <c r="D12" s="4" t="s">
        <v>487</v>
      </c>
    </row>
    <row r="13" spans="1:4" ht="16" x14ac:dyDescent="0.15">
      <c r="A13" s="4" t="s">
        <v>11</v>
      </c>
      <c r="B13" s="4" t="s">
        <v>500</v>
      </c>
      <c r="C13" s="5" t="s">
        <v>490</v>
      </c>
      <c r="D13" s="4" t="s">
        <v>181</v>
      </c>
    </row>
    <row r="14" spans="1:4" ht="16" x14ac:dyDescent="0.15">
      <c r="A14" s="4" t="s">
        <v>12</v>
      </c>
      <c r="B14" s="4" t="s">
        <v>501</v>
      </c>
      <c r="C14" s="5" t="s">
        <v>481</v>
      </c>
      <c r="D14" s="4" t="s">
        <v>181</v>
      </c>
    </row>
    <row r="15" spans="1:4" ht="16" x14ac:dyDescent="0.15">
      <c r="A15" s="4" t="s">
        <v>13</v>
      </c>
      <c r="B15" s="4" t="s">
        <v>502</v>
      </c>
      <c r="C15" s="5" t="s">
        <v>481</v>
      </c>
      <c r="D15" s="4" t="s">
        <v>181</v>
      </c>
    </row>
    <row r="16" spans="1:4" ht="16" x14ac:dyDescent="0.15">
      <c r="A16" s="4" t="s">
        <v>14</v>
      </c>
      <c r="B16" s="4" t="s">
        <v>503</v>
      </c>
      <c r="C16" s="5" t="s">
        <v>481</v>
      </c>
      <c r="D16" s="4" t="s">
        <v>181</v>
      </c>
    </row>
    <row r="17" spans="1:4" ht="16" x14ac:dyDescent="0.15">
      <c r="A17" s="4" t="s">
        <v>15</v>
      </c>
      <c r="B17" s="4" t="s">
        <v>504</v>
      </c>
      <c r="C17" s="5" t="s">
        <v>481</v>
      </c>
      <c r="D17" s="4" t="s">
        <v>181</v>
      </c>
    </row>
    <row r="18" spans="1:4" ht="48" x14ac:dyDescent="0.15">
      <c r="A18" s="4" t="s">
        <v>16</v>
      </c>
      <c r="B18" s="4" t="s">
        <v>505</v>
      </c>
      <c r="C18" s="5" t="s">
        <v>506</v>
      </c>
      <c r="D18" s="4" t="s">
        <v>507</v>
      </c>
    </row>
    <row r="19" spans="1:4" ht="16" x14ac:dyDescent="0.15">
      <c r="A19" s="4" t="s">
        <v>17</v>
      </c>
      <c r="B19" s="4" t="s">
        <v>508</v>
      </c>
      <c r="C19" s="5" t="s">
        <v>481</v>
      </c>
      <c r="D19" s="4" t="s">
        <v>509</v>
      </c>
    </row>
    <row r="20" spans="1:4" ht="16" x14ac:dyDescent="0.15">
      <c r="A20" s="4" t="s">
        <v>18</v>
      </c>
      <c r="B20" s="4" t="s">
        <v>510</v>
      </c>
      <c r="C20" s="5" t="s">
        <v>511</v>
      </c>
      <c r="D20" s="4" t="s">
        <v>512</v>
      </c>
    </row>
    <row r="21" spans="1:4" ht="16" x14ac:dyDescent="0.15">
      <c r="A21" s="4" t="s">
        <v>19</v>
      </c>
      <c r="B21" s="4" t="s">
        <v>513</v>
      </c>
      <c r="C21" s="5" t="s">
        <v>481</v>
      </c>
      <c r="D21" s="4" t="s">
        <v>492</v>
      </c>
    </row>
    <row r="22" spans="1:4" ht="16" x14ac:dyDescent="0.15">
      <c r="A22" s="4" t="s">
        <v>20</v>
      </c>
      <c r="B22" s="4" t="s">
        <v>514</v>
      </c>
      <c r="C22" s="5" t="s">
        <v>481</v>
      </c>
      <c r="D22" s="4" t="s">
        <v>492</v>
      </c>
    </row>
    <row r="23" spans="1:4" ht="16" x14ac:dyDescent="0.15">
      <c r="A23" s="4" t="s">
        <v>21</v>
      </c>
      <c r="B23" s="4" t="s">
        <v>515</v>
      </c>
      <c r="C23" s="5" t="s">
        <v>511</v>
      </c>
      <c r="D23" s="4" t="s">
        <v>507</v>
      </c>
    </row>
    <row r="24" spans="1:4" ht="16" x14ac:dyDescent="0.15">
      <c r="A24" s="4" t="s">
        <v>22</v>
      </c>
      <c r="B24" s="4" t="s">
        <v>516</v>
      </c>
      <c r="C24" s="5" t="s">
        <v>481</v>
      </c>
      <c r="D24" s="4" t="s">
        <v>492</v>
      </c>
    </row>
    <row r="25" spans="1:4" ht="32" x14ac:dyDescent="0.15">
      <c r="A25" s="4" t="s">
        <v>23</v>
      </c>
      <c r="B25" s="4" t="s">
        <v>517</v>
      </c>
      <c r="C25" s="5" t="s">
        <v>481</v>
      </c>
      <c r="D25" s="4" t="s">
        <v>492</v>
      </c>
    </row>
    <row r="26" spans="1:4" ht="16" x14ac:dyDescent="0.15">
      <c r="A26" s="4" t="s">
        <v>24</v>
      </c>
      <c r="B26" s="4" t="s">
        <v>518</v>
      </c>
      <c r="C26" s="5" t="s">
        <v>481</v>
      </c>
      <c r="D26" s="4" t="s">
        <v>492</v>
      </c>
    </row>
    <row r="27" spans="1:4" ht="16" x14ac:dyDescent="0.15">
      <c r="A27" s="4" t="s">
        <v>25</v>
      </c>
      <c r="B27" s="4" t="s">
        <v>519</v>
      </c>
      <c r="C27" s="5" t="s">
        <v>481</v>
      </c>
      <c r="D27" s="4" t="s">
        <v>520</v>
      </c>
    </row>
    <row r="28" spans="1:4" ht="32" x14ac:dyDescent="0.15">
      <c r="A28" s="4" t="s">
        <v>26</v>
      </c>
      <c r="B28" s="4" t="s">
        <v>521</v>
      </c>
      <c r="C28" s="5" t="s">
        <v>522</v>
      </c>
      <c r="D28" s="4" t="s">
        <v>507</v>
      </c>
    </row>
    <row r="29" spans="1:4" ht="32" x14ac:dyDescent="0.15">
      <c r="A29" s="4" t="s">
        <v>27</v>
      </c>
      <c r="B29" s="4" t="s">
        <v>523</v>
      </c>
      <c r="C29" s="5" t="s">
        <v>522</v>
      </c>
      <c r="D29" s="4" t="s">
        <v>507</v>
      </c>
    </row>
    <row r="30" spans="1:4" ht="32" x14ac:dyDescent="0.15">
      <c r="A30" s="4" t="s">
        <v>28</v>
      </c>
      <c r="B30" s="4" t="s">
        <v>524</v>
      </c>
      <c r="C30" s="5" t="s">
        <v>522</v>
      </c>
      <c r="D30" s="4" t="s">
        <v>507</v>
      </c>
    </row>
    <row r="31" spans="1:4" ht="16" x14ac:dyDescent="0.15">
      <c r="A31" s="4" t="s">
        <v>29</v>
      </c>
      <c r="B31" s="4" t="s">
        <v>525</v>
      </c>
      <c r="C31" s="5" t="s">
        <v>522</v>
      </c>
      <c r="D31" s="4" t="s">
        <v>507</v>
      </c>
    </row>
    <row r="32" spans="1:4" ht="16" x14ac:dyDescent="0.15">
      <c r="A32" s="4" t="s">
        <v>30</v>
      </c>
      <c r="B32" s="4" t="s">
        <v>526</v>
      </c>
      <c r="C32" s="5" t="s">
        <v>522</v>
      </c>
      <c r="D32" s="4" t="s">
        <v>507</v>
      </c>
    </row>
    <row r="33" spans="1:4" ht="16" x14ac:dyDescent="0.15">
      <c r="A33" s="4" t="s">
        <v>31</v>
      </c>
      <c r="B33" s="4" t="s">
        <v>527</v>
      </c>
      <c r="C33" s="5" t="s">
        <v>522</v>
      </c>
      <c r="D33" s="4" t="s">
        <v>507</v>
      </c>
    </row>
    <row r="34" spans="1:4" ht="16" x14ac:dyDescent="0.15">
      <c r="A34" s="4" t="s">
        <v>32</v>
      </c>
      <c r="B34" s="4" t="s">
        <v>528</v>
      </c>
      <c r="C34" s="5" t="s">
        <v>522</v>
      </c>
      <c r="D34" s="4" t="s">
        <v>507</v>
      </c>
    </row>
    <row r="35" spans="1:4" ht="16" x14ac:dyDescent="0.15">
      <c r="A35" s="4" t="s">
        <v>33</v>
      </c>
      <c r="B35" s="4" t="s">
        <v>529</v>
      </c>
      <c r="C35" s="5" t="s">
        <v>522</v>
      </c>
      <c r="D35" s="4" t="s">
        <v>507</v>
      </c>
    </row>
    <row r="36" spans="1:4" ht="16" x14ac:dyDescent="0.15">
      <c r="A36" s="4" t="s">
        <v>34</v>
      </c>
      <c r="B36" s="4" t="s">
        <v>530</v>
      </c>
      <c r="C36" s="5" t="s">
        <v>522</v>
      </c>
      <c r="D36" s="4" t="s">
        <v>507</v>
      </c>
    </row>
    <row r="37" spans="1:4" ht="16" x14ac:dyDescent="0.15">
      <c r="A37" s="4" t="s">
        <v>35</v>
      </c>
      <c r="B37" s="4" t="s">
        <v>531</v>
      </c>
      <c r="C37" s="5" t="s">
        <v>522</v>
      </c>
      <c r="D37" s="4" t="s">
        <v>507</v>
      </c>
    </row>
    <row r="38" spans="1:4" ht="16" x14ac:dyDescent="0.15">
      <c r="A38" s="4" t="s">
        <v>36</v>
      </c>
      <c r="B38" s="4" t="s">
        <v>532</v>
      </c>
      <c r="C38" s="5" t="s">
        <v>522</v>
      </c>
      <c r="D38" s="4" t="s">
        <v>507</v>
      </c>
    </row>
    <row r="39" spans="1:4" ht="16" x14ac:dyDescent="0.15">
      <c r="A39" s="4" t="s">
        <v>37</v>
      </c>
      <c r="B39" s="4" t="s">
        <v>533</v>
      </c>
      <c r="C39" s="5" t="s">
        <v>522</v>
      </c>
      <c r="D39" s="4" t="s">
        <v>507</v>
      </c>
    </row>
    <row r="40" spans="1:4" ht="16" x14ac:dyDescent="0.15">
      <c r="A40" s="4" t="s">
        <v>38</v>
      </c>
      <c r="B40" s="4" t="s">
        <v>534</v>
      </c>
      <c r="C40" s="5" t="s">
        <v>522</v>
      </c>
      <c r="D40" s="4" t="s">
        <v>507</v>
      </c>
    </row>
    <row r="41" spans="1:4" ht="16" x14ac:dyDescent="0.15">
      <c r="A41" s="4" t="s">
        <v>39</v>
      </c>
      <c r="B41" s="4" t="s">
        <v>535</v>
      </c>
      <c r="C41" s="5" t="s">
        <v>522</v>
      </c>
      <c r="D41" s="4" t="s">
        <v>507</v>
      </c>
    </row>
    <row r="42" spans="1:4" ht="16" x14ac:dyDescent="0.15">
      <c r="A42" s="4" t="s">
        <v>40</v>
      </c>
      <c r="B42" s="4" t="s">
        <v>536</v>
      </c>
      <c r="C42" s="5" t="s">
        <v>522</v>
      </c>
      <c r="D42" s="4" t="s">
        <v>507</v>
      </c>
    </row>
    <row r="43" spans="1:4" ht="16" x14ac:dyDescent="0.15">
      <c r="A43" s="4" t="s">
        <v>41</v>
      </c>
      <c r="B43" s="4" t="s">
        <v>537</v>
      </c>
      <c r="C43" s="5" t="s">
        <v>522</v>
      </c>
      <c r="D43" s="4" t="s">
        <v>507</v>
      </c>
    </row>
    <row r="44" spans="1:4" ht="16" x14ac:dyDescent="0.15">
      <c r="A44" s="4" t="s">
        <v>42</v>
      </c>
      <c r="B44" s="4" t="s">
        <v>538</v>
      </c>
      <c r="C44" s="5" t="s">
        <v>522</v>
      </c>
      <c r="D44" s="4" t="s">
        <v>507</v>
      </c>
    </row>
    <row r="45" spans="1:4" ht="16" x14ac:dyDescent="0.15">
      <c r="A45" s="4" t="s">
        <v>43</v>
      </c>
      <c r="B45" s="4" t="s">
        <v>539</v>
      </c>
      <c r="C45" s="5" t="s">
        <v>522</v>
      </c>
      <c r="D45" s="4" t="s">
        <v>507</v>
      </c>
    </row>
    <row r="46" spans="1:4" ht="16" x14ac:dyDescent="0.15">
      <c r="A46" s="4" t="s">
        <v>44</v>
      </c>
      <c r="B46" s="4" t="s">
        <v>540</v>
      </c>
      <c r="C46" s="5" t="s">
        <v>522</v>
      </c>
      <c r="D46" s="4" t="s">
        <v>507</v>
      </c>
    </row>
    <row r="47" spans="1:4" ht="16" x14ac:dyDescent="0.15">
      <c r="A47" s="4" t="s">
        <v>45</v>
      </c>
      <c r="B47" s="4" t="s">
        <v>541</v>
      </c>
      <c r="C47" s="5" t="s">
        <v>522</v>
      </c>
      <c r="D47" s="4" t="s">
        <v>507</v>
      </c>
    </row>
    <row r="48" spans="1:4" ht="16" x14ac:dyDescent="0.15">
      <c r="A48" s="4" t="s">
        <v>46</v>
      </c>
      <c r="B48" s="4" t="s">
        <v>542</v>
      </c>
      <c r="C48" s="5" t="s">
        <v>522</v>
      </c>
      <c r="D48" s="4" t="s">
        <v>507</v>
      </c>
    </row>
    <row r="49" spans="1:4" ht="16" x14ac:dyDescent="0.15">
      <c r="A49" s="4" t="s">
        <v>47</v>
      </c>
      <c r="B49" s="4" t="s">
        <v>543</v>
      </c>
      <c r="C49" s="5" t="s">
        <v>522</v>
      </c>
      <c r="D49" s="4" t="s">
        <v>507</v>
      </c>
    </row>
    <row r="50" spans="1:4" ht="16" x14ac:dyDescent="0.15">
      <c r="A50" s="4" t="s">
        <v>48</v>
      </c>
      <c r="B50" s="4" t="s">
        <v>544</v>
      </c>
      <c r="C50" s="5" t="s">
        <v>522</v>
      </c>
      <c r="D50" s="4" t="s">
        <v>507</v>
      </c>
    </row>
    <row r="51" spans="1:4" ht="16" x14ac:dyDescent="0.15">
      <c r="A51" s="4" t="s">
        <v>49</v>
      </c>
      <c r="B51" s="4" t="s">
        <v>545</v>
      </c>
      <c r="C51" s="5" t="s">
        <v>522</v>
      </c>
      <c r="D51" s="4" t="s">
        <v>507</v>
      </c>
    </row>
    <row r="52" spans="1:4" ht="16" x14ac:dyDescent="0.15">
      <c r="A52" s="4" t="s">
        <v>50</v>
      </c>
      <c r="B52" s="4" t="s">
        <v>546</v>
      </c>
      <c r="C52" s="5" t="s">
        <v>522</v>
      </c>
      <c r="D52" s="4" t="s">
        <v>507</v>
      </c>
    </row>
    <row r="53" spans="1:4" ht="16" x14ac:dyDescent="0.15">
      <c r="A53" s="4" t="s">
        <v>51</v>
      </c>
      <c r="B53" s="4" t="s">
        <v>547</v>
      </c>
      <c r="C53" s="5" t="s">
        <v>522</v>
      </c>
      <c r="D53" s="4" t="s">
        <v>507</v>
      </c>
    </row>
    <row r="54" spans="1:4" ht="16" x14ac:dyDescent="0.15">
      <c r="A54" s="4" t="s">
        <v>52</v>
      </c>
      <c r="B54" s="4" t="s">
        <v>548</v>
      </c>
      <c r="C54" s="5" t="s">
        <v>522</v>
      </c>
      <c r="D54" s="4" t="s">
        <v>507</v>
      </c>
    </row>
    <row r="55" spans="1:4" ht="16" x14ac:dyDescent="0.15">
      <c r="A55" s="4" t="s">
        <v>53</v>
      </c>
      <c r="B55" s="4" t="s">
        <v>549</v>
      </c>
      <c r="C55" s="5" t="s">
        <v>522</v>
      </c>
      <c r="D55" s="4" t="s">
        <v>507</v>
      </c>
    </row>
    <row r="56" spans="1:4" ht="16" x14ac:dyDescent="0.15">
      <c r="A56" s="4" t="s">
        <v>54</v>
      </c>
      <c r="B56" s="4" t="s">
        <v>550</v>
      </c>
      <c r="C56" s="5" t="s">
        <v>522</v>
      </c>
      <c r="D56" s="4" t="s">
        <v>507</v>
      </c>
    </row>
    <row r="57" spans="1:4" ht="16" x14ac:dyDescent="0.15">
      <c r="A57" s="4" t="s">
        <v>55</v>
      </c>
      <c r="B57" s="4" t="s">
        <v>551</v>
      </c>
      <c r="C57" s="5" t="s">
        <v>481</v>
      </c>
      <c r="D57" s="4" t="s">
        <v>552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7410-04AD-394E-A248-0EA4499C8071}">
  <sheetPr codeName="Sheet6"/>
  <dimension ref="A1:CF6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3" x14ac:dyDescent="0.15"/>
  <cols>
    <col min="1" max="1" width="6.6640625" style="6" bestFit="1" customWidth="1"/>
    <col min="2" max="2" width="12.5" style="7" bestFit="1" customWidth="1"/>
    <col min="3" max="3" width="14.5" style="6" bestFit="1" customWidth="1"/>
    <col min="4" max="4" width="14.83203125" style="6" bestFit="1" customWidth="1"/>
    <col min="5" max="5" width="13.1640625" style="6" bestFit="1" customWidth="1"/>
    <col min="6" max="6" width="17" style="6" bestFit="1" customWidth="1"/>
    <col min="7" max="7" width="8" style="7" bestFit="1" customWidth="1"/>
    <col min="8" max="8" width="17.83203125" style="7" bestFit="1" customWidth="1"/>
    <col min="9" max="9" width="24.1640625" style="7" bestFit="1" customWidth="1"/>
    <col min="10" max="10" width="9.6640625" style="6" bestFit="1" customWidth="1"/>
    <col min="11" max="11" width="10.83203125" style="6" bestFit="1" customWidth="1"/>
    <col min="12" max="12" width="4.1640625" style="7" bestFit="1" customWidth="1"/>
    <col min="13" max="13" width="14.83203125" style="6" bestFit="1" customWidth="1"/>
    <col min="14" max="14" width="12.6640625" style="6" bestFit="1" customWidth="1"/>
    <col min="15" max="15" width="21" style="6" bestFit="1" customWidth="1"/>
    <col min="16" max="16" width="14.83203125" style="6" bestFit="1" customWidth="1"/>
    <col min="17" max="17" width="122.1640625" style="6" bestFit="1" customWidth="1"/>
    <col min="18" max="18" width="9.5" style="6" bestFit="1" customWidth="1"/>
    <col min="19" max="19" width="35.5" style="6" bestFit="1" customWidth="1"/>
    <col min="20" max="20" width="19.6640625" style="6" bestFit="1" customWidth="1"/>
    <col min="21" max="21" width="26.33203125" style="6" bestFit="1" customWidth="1"/>
    <col min="22" max="22" width="27.83203125" style="6" bestFit="1" customWidth="1"/>
    <col min="23" max="23" width="20.6640625" style="6" bestFit="1" customWidth="1"/>
    <col min="24" max="24" width="49.1640625" style="6" bestFit="1" customWidth="1"/>
    <col min="25" max="25" width="26.33203125" style="6" bestFit="1" customWidth="1"/>
    <col min="26" max="26" width="87.5" style="6" bestFit="1" customWidth="1"/>
    <col min="27" max="27" width="63.33203125" style="6" bestFit="1" customWidth="1"/>
    <col min="28" max="28" width="63.6640625" style="6" bestFit="1" customWidth="1"/>
    <col min="29" max="29" width="68.5" style="6" bestFit="1" customWidth="1"/>
    <col min="30" max="30" width="43.6640625" style="6" bestFit="1" customWidth="1"/>
    <col min="31" max="34" width="26.1640625" style="6" bestFit="1" customWidth="1"/>
    <col min="35" max="38" width="33.83203125" style="6" bestFit="1" customWidth="1"/>
    <col min="39" max="44" width="22.33203125" style="6" bestFit="1" customWidth="1"/>
    <col min="45" max="48" width="25" style="6" bestFit="1" customWidth="1"/>
    <col min="49" max="50" width="32.33203125" style="6" bestFit="1" customWidth="1"/>
    <col min="51" max="51" width="31.83203125" style="6" bestFit="1" customWidth="1"/>
    <col min="52" max="52" width="32" style="6" bestFit="1" customWidth="1"/>
    <col min="53" max="53" width="22.6640625" style="6" bestFit="1" customWidth="1"/>
    <col min="54" max="55" width="28.1640625" style="6" bestFit="1" customWidth="1"/>
    <col min="56" max="56" width="36" style="6" bestFit="1" customWidth="1"/>
    <col min="57" max="57" width="43.83203125" style="6" bestFit="1" customWidth="1"/>
    <col min="58" max="58" width="56" style="6" bestFit="1" customWidth="1"/>
    <col min="59" max="59" width="51" style="6" bestFit="1" customWidth="1"/>
    <col min="60" max="60" width="36.1640625" style="6" bestFit="1" customWidth="1"/>
    <col min="61" max="61" width="41.33203125" style="6" bestFit="1" customWidth="1"/>
    <col min="62" max="62" width="32.83203125" style="6" bestFit="1" customWidth="1"/>
    <col min="63" max="63" width="34.5" style="6" bestFit="1" customWidth="1"/>
    <col min="64" max="64" width="34.6640625" style="6" bestFit="1" customWidth="1"/>
    <col min="65" max="65" width="40.5" style="6" bestFit="1" customWidth="1"/>
    <col min="66" max="66" width="39.1640625" style="6" bestFit="1" customWidth="1"/>
    <col min="67" max="67" width="71" style="6" bestFit="1" customWidth="1"/>
    <col min="68" max="68" width="91.83203125" style="6" bestFit="1" customWidth="1"/>
    <col min="69" max="69" width="34.83203125" style="6" bestFit="1" customWidth="1"/>
    <col min="70" max="70" width="56.1640625" style="6" bestFit="1" customWidth="1"/>
    <col min="71" max="71" width="61.1640625" style="6" bestFit="1" customWidth="1"/>
    <col min="72" max="72" width="47.5" style="6" bestFit="1" customWidth="1"/>
    <col min="73" max="73" width="111.83203125" style="6" bestFit="1" customWidth="1"/>
    <col min="74" max="74" width="23.1640625" style="6" bestFit="1" customWidth="1"/>
    <col min="75" max="75" width="31.5" style="6" bestFit="1" customWidth="1"/>
    <col min="76" max="76" width="27.33203125" style="6" bestFit="1" customWidth="1"/>
    <col min="77" max="77" width="63.1640625" style="6" bestFit="1" customWidth="1"/>
    <col min="78" max="78" width="203.5" style="6" bestFit="1" customWidth="1"/>
    <col min="79" max="79" width="37.6640625" style="6" bestFit="1" customWidth="1"/>
    <col min="80" max="80" width="114.83203125" style="6" bestFit="1" customWidth="1"/>
    <col min="81" max="81" width="146.83203125" style="6" bestFit="1" customWidth="1"/>
    <col min="82" max="82" width="129" style="6" bestFit="1" customWidth="1"/>
    <col min="83" max="83" width="211" style="6" bestFit="1" customWidth="1"/>
    <col min="84" max="84" width="47" style="6" bestFit="1" customWidth="1"/>
  </cols>
  <sheetData>
    <row r="1" spans="1:84" ht="15" x14ac:dyDescent="0.15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6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19</v>
      </c>
      <c r="CA1" s="15" t="s">
        <v>77</v>
      </c>
      <c r="CB1" s="15" t="s">
        <v>78</v>
      </c>
      <c r="CC1" s="15" t="s">
        <v>79</v>
      </c>
      <c r="CD1" s="15" t="s">
        <v>80</v>
      </c>
      <c r="CE1" s="15" t="s">
        <v>81</v>
      </c>
      <c r="CF1" s="15" t="s">
        <v>82</v>
      </c>
    </row>
    <row r="2" spans="1:84" ht="15" x14ac:dyDescent="0.2">
      <c r="A2" s="17" t="s">
        <v>83</v>
      </c>
      <c r="B2" s="18">
        <v>49754731</v>
      </c>
      <c r="C2" s="19">
        <v>45464.883333333331</v>
      </c>
      <c r="D2" s="17" t="s">
        <v>84</v>
      </c>
      <c r="E2" s="17" t="s">
        <v>85</v>
      </c>
      <c r="F2" s="20"/>
      <c r="G2" s="21">
        <v>149</v>
      </c>
      <c r="H2" s="21">
        <v>157.53</v>
      </c>
      <c r="I2" s="21">
        <v>8.5299999999999994</v>
      </c>
      <c r="J2" s="17" t="s">
        <v>86</v>
      </c>
      <c r="K2" s="22">
        <v>32990</v>
      </c>
      <c r="L2" s="18">
        <v>33</v>
      </c>
      <c r="M2" s="17" t="s">
        <v>83</v>
      </c>
      <c r="N2" s="17" t="s">
        <v>87</v>
      </c>
      <c r="O2" s="17" t="s">
        <v>88</v>
      </c>
      <c r="P2" s="17" t="s">
        <v>89</v>
      </c>
      <c r="Q2" s="17" t="s">
        <v>90</v>
      </c>
      <c r="R2" s="17" t="s">
        <v>91</v>
      </c>
      <c r="S2" s="17" t="s">
        <v>92</v>
      </c>
      <c r="T2" s="17"/>
      <c r="U2" s="17"/>
      <c r="V2" s="17"/>
      <c r="W2" s="17"/>
      <c r="X2" s="17"/>
      <c r="Y2" s="17" t="s">
        <v>93</v>
      </c>
      <c r="Z2" s="17" t="s">
        <v>94</v>
      </c>
      <c r="AA2" s="23"/>
      <c r="AB2" s="23"/>
      <c r="AC2" s="23"/>
      <c r="AD2" s="17" t="s">
        <v>95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 t="s">
        <v>95</v>
      </c>
      <c r="BM2" s="17"/>
      <c r="BN2" s="17"/>
      <c r="BO2" s="17"/>
      <c r="BP2" s="17"/>
      <c r="BQ2" s="17"/>
      <c r="BR2" s="17"/>
      <c r="BS2" s="17"/>
      <c r="BT2" s="17" t="s">
        <v>95</v>
      </c>
      <c r="BU2" s="17"/>
      <c r="BV2" s="17"/>
      <c r="BW2" s="17"/>
      <c r="BX2" s="17"/>
      <c r="BY2" s="17" t="s">
        <v>96</v>
      </c>
      <c r="BZ2" s="17"/>
      <c r="CA2" s="17"/>
      <c r="CB2" s="17" t="s">
        <v>97</v>
      </c>
      <c r="CC2" s="17" t="s">
        <v>98</v>
      </c>
      <c r="CD2" s="17" t="s">
        <v>99</v>
      </c>
      <c r="CE2" s="23"/>
      <c r="CF2" s="17" t="s">
        <v>95</v>
      </c>
    </row>
    <row r="3" spans="1:84" ht="15" x14ac:dyDescent="0.2">
      <c r="A3" s="17" t="s">
        <v>83</v>
      </c>
      <c r="B3" s="18">
        <v>47681443</v>
      </c>
      <c r="C3" s="19">
        <v>45397.673611111109</v>
      </c>
      <c r="D3" s="17" t="s">
        <v>100</v>
      </c>
      <c r="E3" s="17" t="s">
        <v>101</v>
      </c>
      <c r="F3" s="20"/>
      <c r="G3" s="21">
        <v>99</v>
      </c>
      <c r="H3" s="21">
        <v>104.81</v>
      </c>
      <c r="I3" s="21">
        <v>5.81</v>
      </c>
      <c r="J3" s="17" t="s">
        <v>102</v>
      </c>
      <c r="K3" s="22">
        <v>31855</v>
      </c>
      <c r="L3" s="18">
        <v>37</v>
      </c>
      <c r="M3" s="17" t="s">
        <v>83</v>
      </c>
      <c r="N3" s="17" t="s">
        <v>87</v>
      </c>
      <c r="O3" s="17">
        <v>33609</v>
      </c>
      <c r="P3" s="17" t="s">
        <v>89</v>
      </c>
      <c r="Q3" s="17" t="s">
        <v>90</v>
      </c>
      <c r="R3" s="17" t="s">
        <v>103</v>
      </c>
      <c r="S3" s="17" t="s">
        <v>104</v>
      </c>
      <c r="T3" s="17"/>
      <c r="U3" s="17"/>
      <c r="V3" s="17"/>
      <c r="W3" s="17"/>
      <c r="X3" s="17"/>
      <c r="Y3" s="17" t="s">
        <v>105</v>
      </c>
      <c r="Z3" s="17"/>
      <c r="AA3" s="17" t="s">
        <v>95</v>
      </c>
      <c r="AB3" s="17"/>
      <c r="AC3" s="17"/>
      <c r="AD3" s="17"/>
      <c r="AE3" s="17"/>
      <c r="AF3" s="17"/>
      <c r="AG3" s="17"/>
      <c r="AH3" s="17"/>
      <c r="AI3" s="17"/>
      <c r="AJ3" s="17"/>
      <c r="AK3" s="17" t="s">
        <v>95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 t="s">
        <v>95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 t="s">
        <v>95</v>
      </c>
      <c r="BS3" s="17" t="s">
        <v>95</v>
      </c>
      <c r="BT3" s="17"/>
      <c r="BU3" s="17" t="s">
        <v>106</v>
      </c>
      <c r="BV3" s="23"/>
      <c r="BW3" s="23"/>
      <c r="BX3" s="17"/>
      <c r="BY3" s="17" t="s">
        <v>95</v>
      </c>
      <c r="BZ3" s="17" t="s">
        <v>107</v>
      </c>
      <c r="CA3" s="23"/>
      <c r="CB3" s="17" t="s">
        <v>108</v>
      </c>
      <c r="CC3" s="17" t="s">
        <v>109</v>
      </c>
      <c r="CD3" s="17" t="s">
        <v>110</v>
      </c>
      <c r="CE3" s="17"/>
      <c r="CF3" s="17" t="s">
        <v>95</v>
      </c>
    </row>
    <row r="4" spans="1:84" ht="15" x14ac:dyDescent="0.2">
      <c r="A4" s="17" t="s">
        <v>83</v>
      </c>
      <c r="B4" s="18">
        <v>47675376</v>
      </c>
      <c r="C4" s="19">
        <v>45397.569444444445</v>
      </c>
      <c r="D4" s="17" t="s">
        <v>111</v>
      </c>
      <c r="E4" s="17" t="s">
        <v>101</v>
      </c>
      <c r="F4" s="20"/>
      <c r="G4" s="21">
        <v>99</v>
      </c>
      <c r="H4" s="21">
        <v>104.81</v>
      </c>
      <c r="I4" s="21">
        <v>5.81</v>
      </c>
      <c r="J4" s="17" t="s">
        <v>112</v>
      </c>
      <c r="K4" s="22">
        <v>31107</v>
      </c>
      <c r="L4" s="18">
        <v>39</v>
      </c>
      <c r="M4" s="17" t="s">
        <v>83</v>
      </c>
      <c r="N4" s="17" t="s">
        <v>87</v>
      </c>
      <c r="O4" s="17">
        <v>30324</v>
      </c>
      <c r="P4" s="17" t="s">
        <v>89</v>
      </c>
      <c r="Q4" s="17" t="s">
        <v>90</v>
      </c>
      <c r="R4" s="17" t="s">
        <v>113</v>
      </c>
      <c r="S4" s="17" t="s">
        <v>114</v>
      </c>
      <c r="T4" s="17" t="s">
        <v>115</v>
      </c>
      <c r="U4" s="17"/>
      <c r="V4" s="17"/>
      <c r="W4" s="17"/>
      <c r="X4" s="17"/>
      <c r="Y4" s="17" t="s">
        <v>116</v>
      </c>
      <c r="Z4" s="17"/>
      <c r="AA4" s="17"/>
      <c r="AB4" s="17"/>
      <c r="AC4" s="17"/>
      <c r="AD4" s="17" t="s">
        <v>95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 t="s">
        <v>95</v>
      </c>
      <c r="BK4" s="17"/>
      <c r="BL4" s="17" t="s">
        <v>95</v>
      </c>
      <c r="BM4" s="17"/>
      <c r="BN4" s="17"/>
      <c r="BO4" s="17"/>
      <c r="BP4" s="17"/>
      <c r="BQ4" s="17"/>
      <c r="BR4" s="17"/>
      <c r="BS4" s="17" t="s">
        <v>95</v>
      </c>
      <c r="BT4" s="17"/>
      <c r="BU4" s="17" t="s">
        <v>117</v>
      </c>
      <c r="BV4" s="17" t="s">
        <v>118</v>
      </c>
      <c r="BW4" s="23"/>
      <c r="BX4" s="23"/>
      <c r="BY4" s="17" t="s">
        <v>96</v>
      </c>
      <c r="BZ4" s="17"/>
      <c r="CA4" s="17"/>
      <c r="CB4" s="17" t="s">
        <v>119</v>
      </c>
      <c r="CC4" s="17" t="s">
        <v>120</v>
      </c>
      <c r="CD4" s="17" t="s">
        <v>121</v>
      </c>
      <c r="CE4" s="17" t="s">
        <v>122</v>
      </c>
      <c r="CF4" s="17" t="s">
        <v>95</v>
      </c>
    </row>
    <row r="5" spans="1:84" ht="15" x14ac:dyDescent="0.2">
      <c r="A5" s="17" t="s">
        <v>83</v>
      </c>
      <c r="B5" s="18">
        <v>48166123</v>
      </c>
      <c r="C5" s="19">
        <v>45411.428472222222</v>
      </c>
      <c r="D5" s="17" t="s">
        <v>123</v>
      </c>
      <c r="E5" s="17" t="s">
        <v>101</v>
      </c>
      <c r="F5" s="20"/>
      <c r="G5" s="21">
        <v>99</v>
      </c>
      <c r="H5" s="21">
        <v>104.81</v>
      </c>
      <c r="I5" s="21">
        <v>5.81</v>
      </c>
      <c r="J5" s="17" t="s">
        <v>112</v>
      </c>
      <c r="K5" s="22">
        <v>32072</v>
      </c>
      <c r="L5" s="18">
        <v>36</v>
      </c>
      <c r="M5" s="17" t="s">
        <v>83</v>
      </c>
      <c r="N5" s="17" t="s">
        <v>87</v>
      </c>
      <c r="O5" s="17">
        <v>19107</v>
      </c>
      <c r="P5" s="17" t="s">
        <v>89</v>
      </c>
      <c r="Q5" s="17" t="s">
        <v>90</v>
      </c>
      <c r="R5" s="17" t="s">
        <v>91</v>
      </c>
      <c r="S5" s="17" t="s">
        <v>104</v>
      </c>
      <c r="T5" s="17"/>
      <c r="U5" s="17"/>
      <c r="V5" s="17"/>
      <c r="W5" s="17"/>
      <c r="X5" s="17"/>
      <c r="Y5" s="17" t="s">
        <v>124</v>
      </c>
      <c r="Z5" s="23"/>
      <c r="AA5" s="17"/>
      <c r="AB5" s="17"/>
      <c r="AC5" s="17"/>
      <c r="AD5" s="17" t="s">
        <v>95</v>
      </c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 t="s">
        <v>95</v>
      </c>
      <c r="BK5" s="17"/>
      <c r="BL5" s="17"/>
      <c r="BM5" s="17"/>
      <c r="BN5" s="17"/>
      <c r="BO5" s="17"/>
      <c r="BP5" s="17"/>
      <c r="BQ5" s="17"/>
      <c r="BR5" s="17"/>
      <c r="BS5" s="17" t="s">
        <v>95</v>
      </c>
      <c r="BT5" s="17"/>
      <c r="BU5" s="17" t="s">
        <v>125</v>
      </c>
      <c r="BV5" s="17" t="s">
        <v>126</v>
      </c>
      <c r="BW5" s="23"/>
      <c r="BX5" s="17"/>
      <c r="BY5" s="17" t="s">
        <v>96</v>
      </c>
      <c r="BZ5" s="17"/>
      <c r="CA5" s="17"/>
      <c r="CB5" s="17" t="s">
        <v>127</v>
      </c>
      <c r="CC5" s="17" t="s">
        <v>128</v>
      </c>
      <c r="CD5" s="17" t="s">
        <v>129</v>
      </c>
      <c r="CE5" s="23"/>
      <c r="CF5" s="17" t="s">
        <v>95</v>
      </c>
    </row>
    <row r="6" spans="1:84" ht="15" x14ac:dyDescent="0.2">
      <c r="A6" s="17" t="s">
        <v>83</v>
      </c>
      <c r="B6" s="18">
        <v>48051139</v>
      </c>
      <c r="C6" s="19">
        <v>45408.399305555555</v>
      </c>
      <c r="D6" s="17" t="s">
        <v>130</v>
      </c>
      <c r="E6" s="17" t="s">
        <v>101</v>
      </c>
      <c r="F6" s="17"/>
      <c r="G6" s="21">
        <v>99</v>
      </c>
      <c r="H6" s="21">
        <v>104.81</v>
      </c>
      <c r="I6" s="21">
        <v>5.81</v>
      </c>
      <c r="J6" s="17" t="s">
        <v>112</v>
      </c>
      <c r="K6" s="22">
        <v>34428</v>
      </c>
      <c r="L6" s="18">
        <v>30</v>
      </c>
      <c r="M6" s="17" t="s">
        <v>131</v>
      </c>
      <c r="N6" s="17" t="s">
        <v>87</v>
      </c>
      <c r="O6" s="17">
        <v>8083</v>
      </c>
      <c r="P6" s="17" t="s">
        <v>89</v>
      </c>
      <c r="Q6" s="17" t="s">
        <v>90</v>
      </c>
      <c r="R6" s="17" t="s">
        <v>132</v>
      </c>
      <c r="S6" s="17" t="s">
        <v>114</v>
      </c>
      <c r="T6" s="17" t="s">
        <v>133</v>
      </c>
      <c r="U6" s="17"/>
      <c r="V6" s="17"/>
      <c r="W6" s="17"/>
      <c r="X6" s="17"/>
      <c r="Y6" s="17" t="s">
        <v>116</v>
      </c>
      <c r="Z6" s="17"/>
      <c r="AA6" s="17"/>
      <c r="AB6" s="17"/>
      <c r="AC6" s="17"/>
      <c r="AD6" s="17" t="s">
        <v>95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 t="s">
        <v>95</v>
      </c>
      <c r="BS6" s="17" t="s">
        <v>95</v>
      </c>
      <c r="BT6" s="17"/>
      <c r="BU6" s="17" t="s">
        <v>134</v>
      </c>
      <c r="BV6" s="17"/>
      <c r="BW6" s="17"/>
      <c r="BX6" s="17"/>
      <c r="BY6" s="17" t="s">
        <v>96</v>
      </c>
      <c r="BZ6" s="17"/>
      <c r="CA6" s="17"/>
      <c r="CB6" s="17" t="s">
        <v>135</v>
      </c>
      <c r="CC6" s="17" t="s">
        <v>136</v>
      </c>
      <c r="CD6" s="17" t="s">
        <v>137</v>
      </c>
      <c r="CE6" s="17"/>
      <c r="CF6" s="17" t="s">
        <v>95</v>
      </c>
    </row>
    <row r="7" spans="1:84" ht="15" x14ac:dyDescent="0.2">
      <c r="A7" s="17" t="s">
        <v>83</v>
      </c>
      <c r="B7" s="18">
        <v>48859447</v>
      </c>
      <c r="C7" s="19">
        <v>45432.630555555559</v>
      </c>
      <c r="D7" s="17" t="s">
        <v>138</v>
      </c>
      <c r="E7" s="17" t="s">
        <v>101</v>
      </c>
      <c r="F7" s="20"/>
      <c r="G7" s="21">
        <v>99</v>
      </c>
      <c r="H7" s="21">
        <v>105.11</v>
      </c>
      <c r="I7" s="21">
        <v>6.11</v>
      </c>
      <c r="J7" s="17" t="s">
        <v>112</v>
      </c>
      <c r="K7" s="22">
        <v>34962</v>
      </c>
      <c r="L7" s="18">
        <v>28</v>
      </c>
      <c r="M7" s="17" t="s">
        <v>83</v>
      </c>
      <c r="N7" s="17" t="s">
        <v>87</v>
      </c>
      <c r="O7" s="17">
        <v>30319</v>
      </c>
      <c r="P7" s="17" t="s">
        <v>89</v>
      </c>
      <c r="Q7" s="17" t="s">
        <v>90</v>
      </c>
      <c r="R7" s="17" t="s">
        <v>113</v>
      </c>
      <c r="S7" s="17" t="s">
        <v>104</v>
      </c>
      <c r="T7" s="17"/>
      <c r="U7" s="17"/>
      <c r="V7" s="17"/>
      <c r="W7" s="17"/>
      <c r="X7" s="17"/>
      <c r="Y7" s="17" t="s">
        <v>139</v>
      </c>
      <c r="Z7" s="23"/>
      <c r="AA7" s="17"/>
      <c r="AB7" s="17"/>
      <c r="AC7" s="17"/>
      <c r="AD7" s="17" t="s">
        <v>95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 t="s">
        <v>95</v>
      </c>
      <c r="BK7" s="17"/>
      <c r="BL7" s="17"/>
      <c r="BM7" s="17"/>
      <c r="BN7" s="17"/>
      <c r="BO7" s="17"/>
      <c r="BP7" s="17"/>
      <c r="BQ7" s="17"/>
      <c r="BR7" s="17"/>
      <c r="BS7" s="17"/>
      <c r="BT7" s="17" t="s">
        <v>95</v>
      </c>
      <c r="BU7" s="17"/>
      <c r="BV7" s="17" t="s">
        <v>126</v>
      </c>
      <c r="BW7" s="23"/>
      <c r="BX7" s="17"/>
      <c r="BY7" s="17" t="s">
        <v>96</v>
      </c>
      <c r="BZ7" s="17"/>
      <c r="CA7" s="17"/>
      <c r="CB7" s="17" t="s">
        <v>140</v>
      </c>
      <c r="CC7" s="23"/>
      <c r="CD7" s="23"/>
      <c r="CE7" s="23"/>
      <c r="CF7" s="17" t="s">
        <v>95</v>
      </c>
    </row>
    <row r="8" spans="1:84" ht="15" x14ac:dyDescent="0.2">
      <c r="A8" s="17" t="s">
        <v>83</v>
      </c>
      <c r="B8" s="18">
        <v>49323159</v>
      </c>
      <c r="C8" s="19">
        <v>45449.527083333334</v>
      </c>
      <c r="D8" s="17" t="s">
        <v>141</v>
      </c>
      <c r="E8" s="17" t="s">
        <v>85</v>
      </c>
      <c r="F8" s="20"/>
      <c r="G8" s="21">
        <v>149</v>
      </c>
      <c r="H8" s="21">
        <v>157.08000000000001</v>
      </c>
      <c r="I8" s="21">
        <v>8.08</v>
      </c>
      <c r="J8" s="17" t="s">
        <v>112</v>
      </c>
      <c r="K8" s="24">
        <v>32585</v>
      </c>
      <c r="L8" s="18">
        <v>35</v>
      </c>
      <c r="M8" s="17" t="s">
        <v>142</v>
      </c>
      <c r="N8" s="17" t="s">
        <v>87</v>
      </c>
      <c r="O8" s="17">
        <v>30312</v>
      </c>
      <c r="P8" s="17" t="s">
        <v>89</v>
      </c>
      <c r="Q8" s="17" t="s">
        <v>90</v>
      </c>
      <c r="R8" s="17" t="s">
        <v>113</v>
      </c>
      <c r="S8" s="17" t="s">
        <v>104</v>
      </c>
      <c r="T8" s="17"/>
      <c r="U8" s="17"/>
      <c r="V8" s="17"/>
      <c r="W8" s="17"/>
      <c r="X8" s="17"/>
      <c r="Y8" s="17" t="s">
        <v>93</v>
      </c>
      <c r="Z8" s="17" t="s">
        <v>143</v>
      </c>
      <c r="AA8" s="17"/>
      <c r="AB8" s="17"/>
      <c r="AC8" s="17"/>
      <c r="AD8" s="17" t="s">
        <v>95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 t="s">
        <v>95</v>
      </c>
      <c r="BN8" s="17"/>
      <c r="BO8" s="17"/>
      <c r="BP8" s="17"/>
      <c r="BQ8" s="17"/>
      <c r="BR8" s="17"/>
      <c r="BS8" s="17"/>
      <c r="BT8" s="17" t="s">
        <v>95</v>
      </c>
      <c r="BU8" s="17"/>
      <c r="BV8" s="17"/>
      <c r="BW8" s="17"/>
      <c r="BX8" s="17"/>
      <c r="BY8" s="17" t="s">
        <v>96</v>
      </c>
      <c r="BZ8" s="17"/>
      <c r="CA8" s="17"/>
      <c r="CB8" s="17"/>
      <c r="CC8" s="17"/>
      <c r="CD8" s="17"/>
      <c r="CE8" s="17"/>
      <c r="CF8" s="17" t="s">
        <v>95</v>
      </c>
    </row>
    <row r="9" spans="1:84" ht="15" x14ac:dyDescent="0.2">
      <c r="A9" s="17" t="s">
        <v>83</v>
      </c>
      <c r="B9" s="18">
        <v>48029806</v>
      </c>
      <c r="C9" s="19">
        <v>45407.759027777778</v>
      </c>
      <c r="D9" s="17" t="s">
        <v>144</v>
      </c>
      <c r="E9" s="17" t="s">
        <v>101</v>
      </c>
      <c r="F9" s="17"/>
      <c r="G9" s="21">
        <v>99</v>
      </c>
      <c r="H9" s="21">
        <v>104.81</v>
      </c>
      <c r="I9" s="21">
        <v>5.81</v>
      </c>
      <c r="J9" s="17" t="s">
        <v>102</v>
      </c>
      <c r="K9" s="22">
        <v>36019</v>
      </c>
      <c r="L9" s="18">
        <v>25</v>
      </c>
      <c r="M9" s="17" t="s">
        <v>83</v>
      </c>
      <c r="N9" s="17" t="s">
        <v>87</v>
      </c>
      <c r="O9" s="17">
        <v>30030</v>
      </c>
      <c r="P9" s="17" t="s">
        <v>89</v>
      </c>
      <c r="Q9" s="17" t="s">
        <v>90</v>
      </c>
      <c r="R9" s="17" t="s">
        <v>145</v>
      </c>
      <c r="S9" s="17" t="s">
        <v>104</v>
      </c>
      <c r="T9" s="17"/>
      <c r="U9" s="17"/>
      <c r="V9" s="17"/>
      <c r="W9" s="17"/>
      <c r="X9" s="17"/>
      <c r="Y9" s="17" t="s">
        <v>124</v>
      </c>
      <c r="Z9" s="17"/>
      <c r="AA9" s="17"/>
      <c r="AB9" s="17"/>
      <c r="AC9" s="17"/>
      <c r="AD9" s="17" t="s">
        <v>95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 t="s">
        <v>95</v>
      </c>
      <c r="BM9" s="17"/>
      <c r="BN9" s="17"/>
      <c r="BO9" s="17"/>
      <c r="BP9" s="17"/>
      <c r="BQ9" s="17"/>
      <c r="BR9" s="17" t="s">
        <v>95</v>
      </c>
      <c r="BS9" s="17" t="s">
        <v>95</v>
      </c>
      <c r="BT9" s="17"/>
      <c r="BU9" s="17" t="s">
        <v>146</v>
      </c>
      <c r="BV9" s="17"/>
      <c r="BW9" s="17"/>
      <c r="BX9" s="17"/>
      <c r="BY9" s="17" t="s">
        <v>96</v>
      </c>
      <c r="BZ9" s="17"/>
      <c r="CA9" s="17"/>
      <c r="CB9" s="17" t="s">
        <v>147</v>
      </c>
      <c r="CC9" s="17"/>
      <c r="CD9" s="17" t="s">
        <v>148</v>
      </c>
      <c r="CE9" s="17"/>
      <c r="CF9" s="17" t="s">
        <v>95</v>
      </c>
    </row>
    <row r="10" spans="1:84" ht="15" x14ac:dyDescent="0.2">
      <c r="A10" s="17" t="s">
        <v>83</v>
      </c>
      <c r="B10" s="18">
        <v>49574860</v>
      </c>
      <c r="C10" s="19">
        <v>45457.923611111109</v>
      </c>
      <c r="D10" s="17" t="s">
        <v>149</v>
      </c>
      <c r="E10" s="17" t="s">
        <v>85</v>
      </c>
      <c r="F10" s="20"/>
      <c r="G10" s="21">
        <v>149</v>
      </c>
      <c r="H10" s="21">
        <v>157.08000000000001</v>
      </c>
      <c r="I10" s="21">
        <v>8.08</v>
      </c>
      <c r="J10" s="17" t="s">
        <v>112</v>
      </c>
      <c r="K10" s="22">
        <v>35447</v>
      </c>
      <c r="L10" s="18">
        <v>27</v>
      </c>
      <c r="M10" s="17" t="s">
        <v>83</v>
      </c>
      <c r="N10" s="17" t="s">
        <v>87</v>
      </c>
      <c r="O10" s="17">
        <v>30022</v>
      </c>
      <c r="P10" s="17" t="s">
        <v>89</v>
      </c>
      <c r="Q10" s="17" t="s">
        <v>90</v>
      </c>
      <c r="R10" s="17" t="s">
        <v>91</v>
      </c>
      <c r="S10" s="17" t="s">
        <v>104</v>
      </c>
      <c r="T10" s="17"/>
      <c r="U10" s="17"/>
      <c r="V10" s="17"/>
      <c r="W10" s="17"/>
      <c r="X10" s="17"/>
      <c r="Y10" s="17" t="s">
        <v>93</v>
      </c>
      <c r="Z10" s="17" t="s">
        <v>150</v>
      </c>
      <c r="AA10" s="23"/>
      <c r="AB10" s="23"/>
      <c r="AC10" s="17"/>
      <c r="AD10" s="17" t="s">
        <v>95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 t="s">
        <v>95</v>
      </c>
      <c r="BM10" s="17"/>
      <c r="BN10" s="17"/>
      <c r="BO10" s="17"/>
      <c r="BP10" s="17"/>
      <c r="BQ10" s="17"/>
      <c r="BR10" s="17" t="s">
        <v>95</v>
      </c>
      <c r="BS10" s="17" t="s">
        <v>95</v>
      </c>
      <c r="BT10" s="17"/>
      <c r="BU10" s="17" t="s">
        <v>151</v>
      </c>
      <c r="BV10" s="23"/>
      <c r="BW10" s="17"/>
      <c r="BX10" s="17"/>
      <c r="BY10" s="17" t="s">
        <v>96</v>
      </c>
      <c r="BZ10" s="17"/>
      <c r="CA10" s="17"/>
      <c r="CB10" s="17" t="s">
        <v>152</v>
      </c>
      <c r="CC10" s="17" t="s">
        <v>153</v>
      </c>
      <c r="CD10" s="17" t="s">
        <v>154</v>
      </c>
      <c r="CE10" s="17"/>
      <c r="CF10" s="17" t="s">
        <v>95</v>
      </c>
    </row>
    <row r="11" spans="1:84" ht="15" x14ac:dyDescent="0.2">
      <c r="A11" s="17" t="s">
        <v>83</v>
      </c>
      <c r="B11" s="18">
        <v>48485150</v>
      </c>
      <c r="C11" s="19">
        <v>45420.676388888889</v>
      </c>
      <c r="D11" s="17" t="s">
        <v>155</v>
      </c>
      <c r="E11" s="17" t="s">
        <v>85</v>
      </c>
      <c r="F11" s="17" t="s">
        <v>156</v>
      </c>
      <c r="G11" s="21">
        <v>149</v>
      </c>
      <c r="H11" s="21">
        <v>104.81</v>
      </c>
      <c r="I11" s="21">
        <v>5.81</v>
      </c>
      <c r="J11" s="17" t="s">
        <v>112</v>
      </c>
      <c r="K11" s="22">
        <v>32739</v>
      </c>
      <c r="L11" s="18">
        <v>34</v>
      </c>
      <c r="M11" s="17" t="s">
        <v>157</v>
      </c>
      <c r="N11" s="17" t="s">
        <v>87</v>
      </c>
      <c r="O11" s="17">
        <v>30338</v>
      </c>
      <c r="P11" s="17" t="s">
        <v>89</v>
      </c>
      <c r="Q11" s="17" t="s">
        <v>90</v>
      </c>
      <c r="R11" s="17" t="s">
        <v>132</v>
      </c>
      <c r="S11" s="17" t="s">
        <v>104</v>
      </c>
      <c r="T11" s="17"/>
      <c r="U11" s="17"/>
      <c r="V11" s="17"/>
      <c r="W11" s="17"/>
      <c r="X11" s="17"/>
      <c r="Y11" s="17" t="s">
        <v>116</v>
      </c>
      <c r="Z11" s="17"/>
      <c r="AA11" s="17"/>
      <c r="AB11" s="17"/>
      <c r="AC11" s="17"/>
      <c r="AD11" s="17" t="s">
        <v>95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 t="s">
        <v>95</v>
      </c>
      <c r="BL11" s="17"/>
      <c r="BM11" s="17"/>
      <c r="BN11" s="17"/>
      <c r="BO11" s="17"/>
      <c r="BP11" s="17"/>
      <c r="BQ11" s="17"/>
      <c r="BR11" s="17" t="s">
        <v>95</v>
      </c>
      <c r="BS11" s="17" t="s">
        <v>95</v>
      </c>
      <c r="BT11" s="17"/>
      <c r="BU11" s="17" t="s">
        <v>158</v>
      </c>
      <c r="BV11" s="23"/>
      <c r="BW11" s="17"/>
      <c r="BX11" s="17"/>
      <c r="BY11" s="17" t="s">
        <v>96</v>
      </c>
      <c r="BZ11" s="17"/>
      <c r="CA11" s="17"/>
      <c r="CB11" s="17" t="s">
        <v>159</v>
      </c>
      <c r="CC11" s="17" t="s">
        <v>160</v>
      </c>
      <c r="CD11" s="17" t="s">
        <v>161</v>
      </c>
      <c r="CE11" s="17" t="s">
        <v>162</v>
      </c>
      <c r="CF11" s="17" t="s">
        <v>95</v>
      </c>
    </row>
    <row r="12" spans="1:84" ht="15" x14ac:dyDescent="0.2">
      <c r="A12" s="17" t="s">
        <v>83</v>
      </c>
      <c r="B12" s="18">
        <v>47077402</v>
      </c>
      <c r="C12" s="19">
        <v>45381.982638888891</v>
      </c>
      <c r="D12" s="17" t="s">
        <v>163</v>
      </c>
      <c r="E12" s="17" t="s">
        <v>101</v>
      </c>
      <c r="F12" s="17"/>
      <c r="G12" s="21">
        <v>99</v>
      </c>
      <c r="H12" s="21">
        <v>105.11</v>
      </c>
      <c r="I12" s="21">
        <v>6.11</v>
      </c>
      <c r="J12" s="17" t="s">
        <v>86</v>
      </c>
      <c r="K12" s="22">
        <v>30964</v>
      </c>
      <c r="L12" s="18">
        <v>39</v>
      </c>
      <c r="M12" s="17" t="s">
        <v>164</v>
      </c>
      <c r="N12" s="17" t="s">
        <v>87</v>
      </c>
      <c r="O12" s="17">
        <v>30305</v>
      </c>
      <c r="P12" s="17" t="s">
        <v>89</v>
      </c>
      <c r="Q12" s="17" t="s">
        <v>90</v>
      </c>
      <c r="R12" s="17" t="s">
        <v>145</v>
      </c>
      <c r="S12" s="17" t="s">
        <v>104</v>
      </c>
      <c r="T12" s="17"/>
      <c r="U12" s="17"/>
      <c r="V12" s="17"/>
      <c r="W12" s="17"/>
      <c r="X12" s="17"/>
      <c r="Y12" s="17" t="s">
        <v>116</v>
      </c>
      <c r="Z12" s="17"/>
      <c r="AA12" s="17" t="s">
        <v>95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 t="s">
        <v>95</v>
      </c>
      <c r="AW12" s="17"/>
      <c r="AX12" s="17"/>
      <c r="AY12" s="17"/>
      <c r="AZ12" s="17"/>
      <c r="BA12" s="17" t="s">
        <v>95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 t="s">
        <v>95</v>
      </c>
      <c r="BS12" s="17"/>
      <c r="BT12" s="17"/>
      <c r="BU12" s="17" t="s">
        <v>165</v>
      </c>
      <c r="BV12" s="17"/>
      <c r="BW12" s="17"/>
      <c r="BX12" s="17"/>
      <c r="BY12" s="17" t="s">
        <v>95</v>
      </c>
      <c r="BZ12" s="17" t="s">
        <v>166</v>
      </c>
      <c r="CA12" s="17"/>
      <c r="CB12" s="17" t="s">
        <v>167</v>
      </c>
      <c r="CC12" s="17" t="s">
        <v>168</v>
      </c>
      <c r="CD12" s="17" t="s">
        <v>169</v>
      </c>
      <c r="CE12" s="17" t="s">
        <v>170</v>
      </c>
      <c r="CF12" s="17" t="s">
        <v>95</v>
      </c>
    </row>
    <row r="13" spans="1:84" ht="15" x14ac:dyDescent="0.2">
      <c r="A13" s="17" t="s">
        <v>83</v>
      </c>
      <c r="B13" s="18">
        <v>48608935</v>
      </c>
      <c r="C13" s="19">
        <v>45424.644444444442</v>
      </c>
      <c r="D13" s="17" t="s">
        <v>171</v>
      </c>
      <c r="E13" s="17" t="s">
        <v>101</v>
      </c>
      <c r="F13" s="17" t="s">
        <v>172</v>
      </c>
      <c r="G13" s="21">
        <v>99</v>
      </c>
      <c r="H13" s="21">
        <v>67.180000000000007</v>
      </c>
      <c r="I13" s="21">
        <v>4.18</v>
      </c>
      <c r="J13" s="17" t="s">
        <v>112</v>
      </c>
      <c r="K13" s="22">
        <v>34526</v>
      </c>
      <c r="L13" s="18">
        <v>29</v>
      </c>
      <c r="M13" s="17" t="s">
        <v>83</v>
      </c>
      <c r="N13" s="17" t="s">
        <v>87</v>
      </c>
      <c r="O13" s="17" t="s">
        <v>173</v>
      </c>
      <c r="P13" s="17" t="s">
        <v>89</v>
      </c>
      <c r="Q13" s="17" t="s">
        <v>90</v>
      </c>
      <c r="R13" s="17" t="s">
        <v>113</v>
      </c>
      <c r="S13" s="17" t="s">
        <v>104</v>
      </c>
      <c r="T13" s="17"/>
      <c r="U13" s="17"/>
      <c r="V13" s="17"/>
      <c r="W13" s="17"/>
      <c r="X13" s="17"/>
      <c r="Y13" s="17" t="s">
        <v>139</v>
      </c>
      <c r="Z13" s="23"/>
      <c r="AA13" s="17"/>
      <c r="AB13" s="17"/>
      <c r="AC13" s="17"/>
      <c r="AD13" s="17" t="s">
        <v>95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 t="s">
        <v>95</v>
      </c>
      <c r="BJ13" s="17"/>
      <c r="BK13" s="17"/>
      <c r="BL13" s="17"/>
      <c r="BM13" s="17"/>
      <c r="BN13" s="17"/>
      <c r="BO13" s="17"/>
      <c r="BP13" s="17"/>
      <c r="BQ13" s="17"/>
      <c r="BR13" s="17" t="s">
        <v>95</v>
      </c>
      <c r="BS13" s="17" t="s">
        <v>95</v>
      </c>
      <c r="BT13" s="17"/>
      <c r="BU13" s="17" t="s">
        <v>174</v>
      </c>
      <c r="BV13" s="17"/>
      <c r="BW13" s="17"/>
      <c r="BX13" s="17"/>
      <c r="BY13" s="17" t="s">
        <v>96</v>
      </c>
      <c r="BZ13" s="17"/>
      <c r="CA13" s="17"/>
      <c r="CB13" s="17"/>
      <c r="CC13" s="17"/>
      <c r="CD13" s="17"/>
      <c r="CE13" s="17"/>
      <c r="CF13" s="17" t="s">
        <v>95</v>
      </c>
    </row>
    <row r="14" spans="1:84" ht="15" x14ac:dyDescent="0.2">
      <c r="A14" s="17" t="s">
        <v>83</v>
      </c>
      <c r="B14" s="18">
        <v>48197293</v>
      </c>
      <c r="C14" s="19">
        <v>45412.40902777778</v>
      </c>
      <c r="D14" s="17" t="s">
        <v>175</v>
      </c>
      <c r="E14" s="17" t="s">
        <v>101</v>
      </c>
      <c r="F14" s="20"/>
      <c r="G14" s="21">
        <v>99</v>
      </c>
      <c r="H14" s="21">
        <v>105.11</v>
      </c>
      <c r="I14" s="21">
        <v>6.11</v>
      </c>
      <c r="J14" s="17" t="s">
        <v>112</v>
      </c>
      <c r="K14" s="22">
        <v>33181</v>
      </c>
      <c r="L14" s="18">
        <v>33</v>
      </c>
      <c r="M14" s="17" t="s">
        <v>176</v>
      </c>
      <c r="N14" s="17" t="s">
        <v>87</v>
      </c>
      <c r="O14" s="17">
        <v>30068</v>
      </c>
      <c r="P14" s="17" t="s">
        <v>89</v>
      </c>
      <c r="Q14" s="17" t="s">
        <v>90</v>
      </c>
      <c r="R14" s="17" t="s">
        <v>132</v>
      </c>
      <c r="S14" s="17" t="s">
        <v>104</v>
      </c>
      <c r="T14" s="17"/>
      <c r="U14" s="17"/>
      <c r="V14" s="17"/>
      <c r="W14" s="17"/>
      <c r="X14" s="17"/>
      <c r="Y14" s="17" t="s">
        <v>116</v>
      </c>
      <c r="Z14" s="17"/>
      <c r="AA14" s="17"/>
      <c r="AB14" s="17"/>
      <c r="AC14" s="17"/>
      <c r="AD14" s="17" t="s">
        <v>95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 t="s">
        <v>95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 t="s">
        <v>95</v>
      </c>
      <c r="BT14" s="17"/>
      <c r="BU14" s="17" t="s">
        <v>177</v>
      </c>
      <c r="BV14" s="23"/>
      <c r="BW14" s="23"/>
      <c r="BX14" s="23"/>
      <c r="BY14" s="17" t="s">
        <v>96</v>
      </c>
      <c r="BZ14" s="17"/>
      <c r="CA14" s="17"/>
      <c r="CB14" s="17" t="s">
        <v>178</v>
      </c>
      <c r="CC14" s="17" t="s">
        <v>179</v>
      </c>
      <c r="CD14" s="17" t="s">
        <v>180</v>
      </c>
      <c r="CE14" s="17" t="s">
        <v>181</v>
      </c>
      <c r="CF14" s="17" t="s">
        <v>95</v>
      </c>
    </row>
    <row r="15" spans="1:84" ht="15" x14ac:dyDescent="0.2">
      <c r="A15" s="17" t="s">
        <v>83</v>
      </c>
      <c r="B15" s="18">
        <v>48551140</v>
      </c>
      <c r="C15" s="19">
        <v>45422.710416666669</v>
      </c>
      <c r="D15" s="17" t="s">
        <v>182</v>
      </c>
      <c r="E15" s="17" t="s">
        <v>85</v>
      </c>
      <c r="F15" s="17" t="s">
        <v>156</v>
      </c>
      <c r="G15" s="21">
        <v>149</v>
      </c>
      <c r="H15" s="21">
        <v>210.22</v>
      </c>
      <c r="I15" s="21">
        <v>12.22</v>
      </c>
      <c r="J15" s="17" t="s">
        <v>112</v>
      </c>
      <c r="K15" s="22">
        <v>36115</v>
      </c>
      <c r="L15" s="18">
        <v>25</v>
      </c>
      <c r="M15" s="17" t="s">
        <v>183</v>
      </c>
      <c r="N15" s="17" t="s">
        <v>184</v>
      </c>
      <c r="O15" s="17">
        <v>30342</v>
      </c>
      <c r="P15" s="17" t="s">
        <v>89</v>
      </c>
      <c r="Q15" s="17" t="s">
        <v>90</v>
      </c>
      <c r="R15" s="17" t="s">
        <v>91</v>
      </c>
      <c r="S15" s="17" t="s">
        <v>185</v>
      </c>
      <c r="T15" s="23"/>
      <c r="U15" s="17"/>
      <c r="V15" s="17"/>
      <c r="W15" s="17"/>
      <c r="X15" s="17"/>
      <c r="Y15" s="17" t="s">
        <v>139</v>
      </c>
      <c r="Z15" s="23"/>
      <c r="AA15" s="17"/>
      <c r="AB15" s="17" t="s">
        <v>95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 t="s">
        <v>95</v>
      </c>
      <c r="BK15" s="17"/>
      <c r="BL15" s="17"/>
      <c r="BM15" s="17"/>
      <c r="BN15" s="17"/>
      <c r="BO15" s="17"/>
      <c r="BP15" s="17"/>
      <c r="BQ15" s="17"/>
      <c r="BR15" s="17" t="s">
        <v>95</v>
      </c>
      <c r="BS15" s="17" t="s">
        <v>95</v>
      </c>
      <c r="BT15" s="17"/>
      <c r="BU15" s="17" t="s">
        <v>186</v>
      </c>
      <c r="BV15" s="17" t="s">
        <v>187</v>
      </c>
      <c r="BW15" s="23"/>
      <c r="BX15" s="17"/>
      <c r="BY15" s="17" t="s">
        <v>96</v>
      </c>
      <c r="BZ15" s="17"/>
      <c r="CA15" s="17"/>
      <c r="CB15" s="17" t="s">
        <v>188</v>
      </c>
      <c r="CC15" s="17" t="s">
        <v>189</v>
      </c>
      <c r="CD15" s="17" t="s">
        <v>190</v>
      </c>
      <c r="CE15" s="17"/>
      <c r="CF15" s="17" t="s">
        <v>95</v>
      </c>
    </row>
    <row r="16" spans="1:84" ht="15" x14ac:dyDescent="0.2">
      <c r="A16" s="17" t="s">
        <v>83</v>
      </c>
      <c r="B16" s="18">
        <v>49366308</v>
      </c>
      <c r="C16" s="19">
        <v>45450.765277777777</v>
      </c>
      <c r="D16" s="17" t="s">
        <v>191</v>
      </c>
      <c r="E16" s="17" t="s">
        <v>85</v>
      </c>
      <c r="F16" s="20"/>
      <c r="G16" s="21">
        <v>149</v>
      </c>
      <c r="H16" s="21">
        <v>157.53</v>
      </c>
      <c r="I16" s="21">
        <v>8.5299999999999994</v>
      </c>
      <c r="J16" s="17" t="s">
        <v>86</v>
      </c>
      <c r="K16" s="24">
        <v>31595</v>
      </c>
      <c r="L16" s="18">
        <v>37</v>
      </c>
      <c r="M16" s="17" t="s">
        <v>83</v>
      </c>
      <c r="N16" s="17" t="s">
        <v>87</v>
      </c>
      <c r="O16" s="17">
        <v>33139</v>
      </c>
      <c r="P16" s="17" t="s">
        <v>89</v>
      </c>
      <c r="Q16" s="17" t="s">
        <v>90</v>
      </c>
      <c r="R16" s="17" t="s">
        <v>113</v>
      </c>
      <c r="S16" s="17" t="s">
        <v>104</v>
      </c>
      <c r="T16" s="17"/>
      <c r="U16" s="17"/>
      <c r="V16" s="17"/>
      <c r="W16" s="17"/>
      <c r="X16" s="17"/>
      <c r="Y16" s="17" t="s">
        <v>124</v>
      </c>
      <c r="Z16" s="23"/>
      <c r="AA16" s="17"/>
      <c r="AB16" s="17"/>
      <c r="AC16" s="17"/>
      <c r="AD16" s="17" t="s">
        <v>95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95</v>
      </c>
      <c r="BQ16" s="17"/>
      <c r="BR16" s="17"/>
      <c r="BS16" s="17" t="s">
        <v>95</v>
      </c>
      <c r="BT16" s="17"/>
      <c r="BU16" s="17" t="s">
        <v>192</v>
      </c>
      <c r="BV16" s="23"/>
      <c r="BW16" s="17" t="s">
        <v>193</v>
      </c>
      <c r="BX16" s="23"/>
      <c r="BY16" s="17" t="s">
        <v>96</v>
      </c>
      <c r="BZ16" s="17"/>
      <c r="CA16" s="17"/>
      <c r="CB16" s="17" t="s">
        <v>194</v>
      </c>
      <c r="CC16" s="17" t="s">
        <v>195</v>
      </c>
      <c r="CD16" s="17" t="s">
        <v>196</v>
      </c>
      <c r="CE16" s="23"/>
      <c r="CF16" s="17" t="s">
        <v>95</v>
      </c>
    </row>
    <row r="17" spans="1:84" ht="15" x14ac:dyDescent="0.2">
      <c r="A17" s="17" t="s">
        <v>83</v>
      </c>
      <c r="B17" s="18">
        <v>46954621</v>
      </c>
      <c r="C17" s="19">
        <v>45438.970833333333</v>
      </c>
      <c r="D17" s="17" t="s">
        <v>197</v>
      </c>
      <c r="E17" s="17" t="s">
        <v>101</v>
      </c>
      <c r="F17" s="20" t="s">
        <v>198</v>
      </c>
      <c r="G17" s="21">
        <v>99</v>
      </c>
      <c r="H17" s="21">
        <v>0</v>
      </c>
      <c r="I17" s="21">
        <v>0</v>
      </c>
      <c r="J17" s="17" t="s">
        <v>86</v>
      </c>
      <c r="K17" s="22">
        <v>32854</v>
      </c>
      <c r="L17" s="18">
        <v>34</v>
      </c>
      <c r="M17" s="17" t="s">
        <v>83</v>
      </c>
      <c r="N17" s="17" t="s">
        <v>87</v>
      </c>
      <c r="O17" s="17">
        <v>30022</v>
      </c>
      <c r="P17" s="17" t="s">
        <v>89</v>
      </c>
      <c r="Q17" s="17" t="s">
        <v>90</v>
      </c>
      <c r="R17" s="17" t="s">
        <v>132</v>
      </c>
      <c r="S17" s="17" t="s">
        <v>104</v>
      </c>
      <c r="T17" s="17"/>
      <c r="U17" s="17"/>
      <c r="V17" s="17"/>
      <c r="W17" s="17"/>
      <c r="X17" s="17"/>
      <c r="Y17" s="17" t="s">
        <v>124</v>
      </c>
      <c r="Z17" s="23"/>
      <c r="AA17" s="17" t="s">
        <v>95</v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 t="s">
        <v>95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 t="s">
        <v>95</v>
      </c>
      <c r="BU17" s="17"/>
      <c r="BV17" s="17"/>
      <c r="BW17" s="17"/>
      <c r="BX17" s="17"/>
      <c r="BY17" s="17" t="s">
        <v>96</v>
      </c>
      <c r="BZ17" s="17"/>
      <c r="CA17" s="17"/>
      <c r="CB17" s="17" t="s">
        <v>199</v>
      </c>
      <c r="CC17" s="17" t="s">
        <v>200</v>
      </c>
      <c r="CD17" s="17" t="s">
        <v>201</v>
      </c>
      <c r="CE17" s="23"/>
      <c r="CF17" s="17" t="s">
        <v>95</v>
      </c>
    </row>
    <row r="18" spans="1:84" ht="15" x14ac:dyDescent="0.2">
      <c r="A18" s="17" t="s">
        <v>83</v>
      </c>
      <c r="B18" s="18">
        <v>49036460</v>
      </c>
      <c r="C18" s="19">
        <v>45378.420138888891</v>
      </c>
      <c r="D18" s="17" t="s">
        <v>197</v>
      </c>
      <c r="E18" s="17" t="s">
        <v>101</v>
      </c>
      <c r="F18" s="20"/>
      <c r="G18" s="21">
        <v>99</v>
      </c>
      <c r="H18" s="21">
        <v>209.62</v>
      </c>
      <c r="I18" s="21">
        <v>11.62</v>
      </c>
      <c r="J18" s="17" t="s">
        <v>86</v>
      </c>
      <c r="K18" s="22">
        <v>30408</v>
      </c>
      <c r="L18" s="18">
        <v>41</v>
      </c>
      <c r="M18" s="17" t="s">
        <v>83</v>
      </c>
      <c r="N18" s="17" t="s">
        <v>87</v>
      </c>
      <c r="O18" s="17">
        <v>30002</v>
      </c>
      <c r="P18" s="17" t="s">
        <v>89</v>
      </c>
      <c r="Q18" s="17" t="s">
        <v>90</v>
      </c>
      <c r="R18" s="17" t="s">
        <v>91</v>
      </c>
      <c r="S18" s="17" t="s">
        <v>104</v>
      </c>
      <c r="T18" s="17"/>
      <c r="U18" s="17"/>
      <c r="V18" s="17"/>
      <c r="W18" s="17"/>
      <c r="X18" s="17"/>
      <c r="Y18" s="17" t="s">
        <v>105</v>
      </c>
      <c r="Z18" s="17"/>
      <c r="AA18" s="17"/>
      <c r="AB18" s="17"/>
      <c r="AC18" s="17"/>
      <c r="AD18" s="17" t="s">
        <v>95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 t="s">
        <v>95</v>
      </c>
      <c r="BN18" s="17"/>
      <c r="BO18" s="17"/>
      <c r="BP18" s="17"/>
      <c r="BQ18" s="17"/>
      <c r="BR18" s="17"/>
      <c r="BS18" s="17"/>
      <c r="BT18" s="17" t="s">
        <v>95</v>
      </c>
      <c r="BU18" s="17"/>
      <c r="BV18" s="17"/>
      <c r="BW18" s="17"/>
      <c r="BX18" s="17"/>
      <c r="BY18" s="17" t="s">
        <v>96</v>
      </c>
      <c r="BZ18" s="17"/>
      <c r="CA18" s="17"/>
      <c r="CB18" s="17" t="s">
        <v>202</v>
      </c>
      <c r="CC18" s="17" t="s">
        <v>203</v>
      </c>
      <c r="CD18" s="17" t="s">
        <v>204</v>
      </c>
      <c r="CE18" s="17"/>
      <c r="CF18" s="17" t="s">
        <v>95</v>
      </c>
    </row>
    <row r="19" spans="1:84" ht="15" x14ac:dyDescent="0.2">
      <c r="A19" s="17" t="s">
        <v>83</v>
      </c>
      <c r="B19" s="18">
        <v>47465233</v>
      </c>
      <c r="C19" s="19">
        <v>45392.681944444441</v>
      </c>
      <c r="D19" s="17" t="s">
        <v>205</v>
      </c>
      <c r="E19" s="17" t="s">
        <v>101</v>
      </c>
      <c r="F19" s="20"/>
      <c r="G19" s="21">
        <v>99</v>
      </c>
      <c r="H19" s="21">
        <v>104.81</v>
      </c>
      <c r="I19" s="21">
        <v>5.81</v>
      </c>
      <c r="J19" s="17" t="s">
        <v>112</v>
      </c>
      <c r="K19" s="22">
        <v>33316</v>
      </c>
      <c r="L19" s="18">
        <v>33</v>
      </c>
      <c r="M19" s="17" t="s">
        <v>83</v>
      </c>
      <c r="N19" s="17" t="s">
        <v>87</v>
      </c>
      <c r="O19" s="17">
        <v>30096</v>
      </c>
      <c r="P19" s="17" t="s">
        <v>89</v>
      </c>
      <c r="Q19" s="17" t="s">
        <v>90</v>
      </c>
      <c r="R19" s="17" t="s">
        <v>145</v>
      </c>
      <c r="S19" s="17" t="s">
        <v>104</v>
      </c>
      <c r="T19" s="17"/>
      <c r="U19" s="17"/>
      <c r="V19" s="17"/>
      <c r="W19" s="17"/>
      <c r="X19" s="17"/>
      <c r="Y19" s="17" t="s">
        <v>116</v>
      </c>
      <c r="Z19" s="17"/>
      <c r="AA19" s="17" t="s">
        <v>95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 t="s">
        <v>95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 t="s">
        <v>95</v>
      </c>
      <c r="BT19" s="17"/>
      <c r="BU19" s="17" t="s">
        <v>206</v>
      </c>
      <c r="BV19" s="23"/>
      <c r="BW19" s="17"/>
      <c r="BX19" s="17"/>
      <c r="BY19" s="17" t="s">
        <v>96</v>
      </c>
      <c r="BZ19" s="17"/>
      <c r="CA19" s="17"/>
      <c r="CB19" s="17" t="s">
        <v>207</v>
      </c>
      <c r="CC19" s="17" t="s">
        <v>208</v>
      </c>
      <c r="CD19" s="17" t="s">
        <v>209</v>
      </c>
      <c r="CE19" s="23"/>
      <c r="CF19" s="17" t="s">
        <v>95</v>
      </c>
    </row>
    <row r="20" spans="1:84" ht="15" x14ac:dyDescent="0.2">
      <c r="A20" s="17" t="s">
        <v>83</v>
      </c>
      <c r="B20" s="18">
        <v>49305723</v>
      </c>
      <c r="C20" s="19">
        <v>45448.738888888889</v>
      </c>
      <c r="D20" s="17" t="s">
        <v>210</v>
      </c>
      <c r="E20" s="17" t="s">
        <v>85</v>
      </c>
      <c r="F20" s="20"/>
      <c r="G20" s="21">
        <v>149</v>
      </c>
      <c r="H20" s="21">
        <v>157.08000000000001</v>
      </c>
      <c r="I20" s="21">
        <v>8.08</v>
      </c>
      <c r="J20" s="17" t="s">
        <v>112</v>
      </c>
      <c r="K20" s="22">
        <v>34067</v>
      </c>
      <c r="L20" s="18">
        <v>31</v>
      </c>
      <c r="M20" s="17" t="s">
        <v>83</v>
      </c>
      <c r="N20" s="17" t="s">
        <v>87</v>
      </c>
      <c r="O20" s="17">
        <v>30022</v>
      </c>
      <c r="P20" s="17" t="s">
        <v>89</v>
      </c>
      <c r="Q20" s="17" t="s">
        <v>90</v>
      </c>
      <c r="R20" s="17" t="s">
        <v>91</v>
      </c>
      <c r="S20" s="17" t="s">
        <v>104</v>
      </c>
      <c r="T20" s="17"/>
      <c r="U20" s="17"/>
      <c r="V20" s="17"/>
      <c r="W20" s="17"/>
      <c r="X20" s="17"/>
      <c r="Y20" s="17" t="s">
        <v>93</v>
      </c>
      <c r="Z20" s="17" t="s">
        <v>211</v>
      </c>
      <c r="AA20" s="17"/>
      <c r="AB20" s="17"/>
      <c r="AC20" s="17"/>
      <c r="AD20" s="17" t="s">
        <v>95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 t="s">
        <v>95</v>
      </c>
      <c r="BM20" s="17"/>
      <c r="BN20" s="17"/>
      <c r="BO20" s="17"/>
      <c r="BP20" s="17"/>
      <c r="BQ20" s="17"/>
      <c r="BR20" s="17" t="s">
        <v>95</v>
      </c>
      <c r="BS20" s="17" t="s">
        <v>95</v>
      </c>
      <c r="BT20" s="17"/>
      <c r="BU20" s="17" t="s">
        <v>212</v>
      </c>
      <c r="BV20" s="17"/>
      <c r="BW20" s="17"/>
      <c r="BX20" s="17"/>
      <c r="BY20" s="17" t="s">
        <v>96</v>
      </c>
      <c r="BZ20" s="17"/>
      <c r="CA20" s="17"/>
      <c r="CB20" s="17"/>
      <c r="CC20" s="17"/>
      <c r="CD20" s="17"/>
      <c r="CE20" s="17"/>
      <c r="CF20" s="17" t="s">
        <v>95</v>
      </c>
    </row>
    <row r="21" spans="1:84" ht="15" x14ac:dyDescent="0.2">
      <c r="A21" s="17" t="s">
        <v>83</v>
      </c>
      <c r="B21" s="18">
        <v>46908735</v>
      </c>
      <c r="C21" s="19">
        <v>45376.574305555558</v>
      </c>
      <c r="D21" s="17" t="s">
        <v>213</v>
      </c>
      <c r="E21" s="17" t="s">
        <v>101</v>
      </c>
      <c r="F21" s="17" t="s">
        <v>198</v>
      </c>
      <c r="G21" s="21">
        <v>99</v>
      </c>
      <c r="H21" s="21">
        <v>0</v>
      </c>
      <c r="I21" s="21">
        <v>0</v>
      </c>
      <c r="J21" s="17" t="s">
        <v>112</v>
      </c>
      <c r="K21" s="24">
        <v>31545</v>
      </c>
      <c r="L21" s="18">
        <v>37</v>
      </c>
      <c r="M21" s="17" t="s">
        <v>214</v>
      </c>
      <c r="N21" s="17" t="s">
        <v>184</v>
      </c>
      <c r="O21" s="17">
        <v>30062</v>
      </c>
      <c r="P21" s="17" t="s">
        <v>89</v>
      </c>
      <c r="Q21" s="17" t="s">
        <v>90</v>
      </c>
      <c r="R21" s="17" t="s">
        <v>113</v>
      </c>
      <c r="S21" s="17" t="s">
        <v>215</v>
      </c>
      <c r="T21" s="17"/>
      <c r="U21" s="17"/>
      <c r="V21" s="17"/>
      <c r="W21" s="17"/>
      <c r="X21" s="17"/>
      <c r="Y21" s="17" t="s">
        <v>116</v>
      </c>
      <c r="Z21" s="17"/>
      <c r="AA21" s="17" t="s">
        <v>95</v>
      </c>
      <c r="AB21" s="17" t="s">
        <v>95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 t="s">
        <v>95</v>
      </c>
      <c r="BA21" s="17" t="s">
        <v>95</v>
      </c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 t="s">
        <v>95</v>
      </c>
      <c r="BS21" s="17"/>
      <c r="BT21" s="17"/>
      <c r="BU21" s="17" t="s">
        <v>216</v>
      </c>
      <c r="BV21" s="17"/>
      <c r="BW21" s="17"/>
      <c r="BX21" s="17"/>
      <c r="BY21" s="17" t="s">
        <v>95</v>
      </c>
      <c r="BZ21" s="17" t="s">
        <v>217</v>
      </c>
      <c r="CA21" s="23"/>
      <c r="CB21" s="17" t="s">
        <v>218</v>
      </c>
      <c r="CC21" s="17" t="s">
        <v>219</v>
      </c>
      <c r="CD21" s="17" t="s">
        <v>220</v>
      </c>
      <c r="CE21" s="17"/>
      <c r="CF21" s="17" t="s">
        <v>95</v>
      </c>
    </row>
    <row r="22" spans="1:84" ht="15" x14ac:dyDescent="0.2">
      <c r="A22" s="17" t="s">
        <v>83</v>
      </c>
      <c r="B22" s="18">
        <v>48607375</v>
      </c>
      <c r="C22" s="19">
        <v>45424.601388888892</v>
      </c>
      <c r="D22" s="17" t="s">
        <v>221</v>
      </c>
      <c r="E22" s="17" t="s">
        <v>101</v>
      </c>
      <c r="F22" s="17" t="s">
        <v>172</v>
      </c>
      <c r="G22" s="21">
        <v>99</v>
      </c>
      <c r="H22" s="21">
        <v>134.36000000000001</v>
      </c>
      <c r="I22" s="21">
        <v>8.36</v>
      </c>
      <c r="J22" s="17" t="s">
        <v>86</v>
      </c>
      <c r="K22" s="22">
        <v>35788</v>
      </c>
      <c r="L22" s="18">
        <v>26</v>
      </c>
      <c r="M22" s="17" t="s">
        <v>222</v>
      </c>
      <c r="N22" s="17" t="s">
        <v>87</v>
      </c>
      <c r="O22" s="17">
        <v>30309</v>
      </c>
      <c r="P22" s="17" t="s">
        <v>89</v>
      </c>
      <c r="Q22" s="17" t="s">
        <v>90</v>
      </c>
      <c r="R22" s="17" t="s">
        <v>91</v>
      </c>
      <c r="S22" s="17" t="s">
        <v>114</v>
      </c>
      <c r="T22" s="17" t="s">
        <v>223</v>
      </c>
      <c r="U22" s="17"/>
      <c r="V22" s="17"/>
      <c r="W22" s="17"/>
      <c r="X22" s="17"/>
      <c r="Y22" s="17" t="s">
        <v>93</v>
      </c>
      <c r="Z22" s="17" t="s">
        <v>224</v>
      </c>
      <c r="AA22" s="17"/>
      <c r="AB22" s="17"/>
      <c r="AC22" s="17"/>
      <c r="AD22" s="17" t="s">
        <v>95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 t="s">
        <v>95</v>
      </c>
      <c r="BJ22" s="17"/>
      <c r="BK22" s="17"/>
      <c r="BL22" s="17"/>
      <c r="BM22" s="17"/>
      <c r="BN22" s="17"/>
      <c r="BO22" s="17"/>
      <c r="BP22" s="17"/>
      <c r="BQ22" s="17"/>
      <c r="BR22" s="17" t="s">
        <v>95</v>
      </c>
      <c r="BS22" s="17" t="s">
        <v>95</v>
      </c>
      <c r="BT22" s="17"/>
      <c r="BU22" s="17" t="s">
        <v>225</v>
      </c>
      <c r="BV22" s="23"/>
      <c r="BW22" s="23"/>
      <c r="BX22" s="17"/>
      <c r="BY22" s="17" t="s">
        <v>96</v>
      </c>
      <c r="BZ22" s="17"/>
      <c r="CA22" s="17"/>
      <c r="CB22" s="17" t="s">
        <v>226</v>
      </c>
      <c r="CC22" s="17" t="s">
        <v>227</v>
      </c>
      <c r="CD22" s="17" t="s">
        <v>228</v>
      </c>
      <c r="CE22" s="23"/>
      <c r="CF22" s="17" t="s">
        <v>95</v>
      </c>
    </row>
    <row r="23" spans="1:84" ht="15" x14ac:dyDescent="0.2">
      <c r="A23" s="17" t="s">
        <v>83</v>
      </c>
      <c r="B23" s="18">
        <v>49130704</v>
      </c>
      <c r="C23" s="19">
        <v>45442.824305555558</v>
      </c>
      <c r="D23" s="17" t="s">
        <v>229</v>
      </c>
      <c r="E23" s="17" t="s">
        <v>101</v>
      </c>
      <c r="F23" s="20"/>
      <c r="G23" s="21">
        <v>99</v>
      </c>
      <c r="H23" s="21">
        <v>105.11</v>
      </c>
      <c r="I23" s="21">
        <v>6.11</v>
      </c>
      <c r="J23" s="17" t="s">
        <v>86</v>
      </c>
      <c r="K23" s="24">
        <v>31504</v>
      </c>
      <c r="L23" s="18">
        <v>37</v>
      </c>
      <c r="M23" s="17" t="s">
        <v>83</v>
      </c>
      <c r="N23" s="17" t="s">
        <v>87</v>
      </c>
      <c r="O23" s="17">
        <v>30318</v>
      </c>
      <c r="P23" s="17" t="s">
        <v>89</v>
      </c>
      <c r="Q23" s="17" t="s">
        <v>90</v>
      </c>
      <c r="R23" s="17" t="s">
        <v>113</v>
      </c>
      <c r="S23" s="17" t="s">
        <v>104</v>
      </c>
      <c r="T23" s="17"/>
      <c r="U23" s="17"/>
      <c r="V23" s="17"/>
      <c r="W23" s="17"/>
      <c r="X23" s="17"/>
      <c r="Y23" s="17" t="s">
        <v>124</v>
      </c>
      <c r="Z23" s="23"/>
      <c r="AA23" s="17"/>
      <c r="AB23" s="17"/>
      <c r="AC23" s="17"/>
      <c r="AD23" s="17" t="s">
        <v>95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 t="s">
        <v>95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 t="s">
        <v>95</v>
      </c>
      <c r="BS23" s="17" t="s">
        <v>95</v>
      </c>
      <c r="BT23" s="17"/>
      <c r="BU23" s="17" t="s">
        <v>230</v>
      </c>
      <c r="BV23" s="23"/>
      <c r="BW23" s="17"/>
      <c r="BX23" s="17"/>
      <c r="BY23" s="17" t="s">
        <v>96</v>
      </c>
      <c r="BZ23" s="17"/>
      <c r="CA23" s="17"/>
      <c r="CB23" s="17" t="s">
        <v>207</v>
      </c>
      <c r="CC23" s="17" t="s">
        <v>231</v>
      </c>
      <c r="CD23" s="17" t="s">
        <v>110</v>
      </c>
      <c r="CE23" s="17"/>
      <c r="CF23" s="17" t="s">
        <v>95</v>
      </c>
    </row>
    <row r="24" spans="1:84" ht="15" x14ac:dyDescent="0.2">
      <c r="A24" s="17" t="s">
        <v>83</v>
      </c>
      <c r="B24" s="18">
        <v>49161415</v>
      </c>
      <c r="C24" s="19">
        <v>45443.74722222222</v>
      </c>
      <c r="D24" s="17" t="s">
        <v>232</v>
      </c>
      <c r="E24" s="17" t="s">
        <v>101</v>
      </c>
      <c r="F24" s="20" t="s">
        <v>233</v>
      </c>
      <c r="G24" s="21">
        <v>99</v>
      </c>
      <c r="H24" s="21">
        <v>0</v>
      </c>
      <c r="I24" s="21">
        <v>0</v>
      </c>
      <c r="J24" s="17" t="s">
        <v>112</v>
      </c>
      <c r="K24" s="22">
        <v>34990</v>
      </c>
      <c r="L24" s="18">
        <v>28</v>
      </c>
      <c r="M24" s="17" t="s">
        <v>234</v>
      </c>
      <c r="N24" s="17" t="s">
        <v>235</v>
      </c>
      <c r="O24" s="17">
        <v>30319</v>
      </c>
      <c r="P24" s="17" t="s">
        <v>89</v>
      </c>
      <c r="Q24" s="17" t="s">
        <v>90</v>
      </c>
      <c r="R24" s="17" t="s">
        <v>132</v>
      </c>
      <c r="S24" s="17" t="s">
        <v>236</v>
      </c>
      <c r="T24" s="17"/>
      <c r="U24" s="17"/>
      <c r="V24" s="17"/>
      <c r="W24" s="17"/>
      <c r="X24" s="17"/>
      <c r="Y24" s="17" t="s">
        <v>116</v>
      </c>
      <c r="Z24" s="17"/>
      <c r="AA24" s="17"/>
      <c r="AB24" s="17"/>
      <c r="AC24" s="17"/>
      <c r="AD24" s="17" t="s">
        <v>95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95</v>
      </c>
      <c r="BQ24" s="17"/>
      <c r="BR24" s="17"/>
      <c r="BS24" s="17"/>
      <c r="BT24" s="17" t="s">
        <v>95</v>
      </c>
      <c r="BU24" s="17"/>
      <c r="BV24" s="17"/>
      <c r="BW24" s="17" t="s">
        <v>237</v>
      </c>
      <c r="BX24" s="23"/>
      <c r="BY24" s="17" t="s">
        <v>95</v>
      </c>
      <c r="BZ24" s="17" t="s">
        <v>238</v>
      </c>
      <c r="CA24" s="23"/>
      <c r="CB24" s="17" t="s">
        <v>127</v>
      </c>
      <c r="CC24" s="17"/>
      <c r="CD24" s="17"/>
      <c r="CE24" s="17"/>
      <c r="CF24" s="17" t="s">
        <v>95</v>
      </c>
    </row>
    <row r="25" spans="1:84" ht="15" x14ac:dyDescent="0.2">
      <c r="A25" s="17" t="s">
        <v>83</v>
      </c>
      <c r="B25" s="18">
        <v>49420093</v>
      </c>
      <c r="C25" s="19">
        <v>45452.525694444441</v>
      </c>
      <c r="D25" s="17" t="s">
        <v>239</v>
      </c>
      <c r="E25" s="17" t="s">
        <v>85</v>
      </c>
      <c r="F25" s="20"/>
      <c r="G25" s="21">
        <v>149</v>
      </c>
      <c r="H25" s="21">
        <v>157.08000000000001</v>
      </c>
      <c r="I25" s="21">
        <v>8.08</v>
      </c>
      <c r="J25" s="17" t="s">
        <v>86</v>
      </c>
      <c r="K25" s="22">
        <v>30807</v>
      </c>
      <c r="L25" s="18">
        <v>39</v>
      </c>
      <c r="M25" s="17" t="s">
        <v>240</v>
      </c>
      <c r="N25" s="17" t="s">
        <v>184</v>
      </c>
      <c r="O25" s="17">
        <v>30306</v>
      </c>
      <c r="P25" s="17" t="s">
        <v>89</v>
      </c>
      <c r="Q25" s="17" t="s">
        <v>90</v>
      </c>
      <c r="R25" s="17" t="s">
        <v>103</v>
      </c>
      <c r="S25" s="17" t="s">
        <v>104</v>
      </c>
      <c r="T25" s="17"/>
      <c r="U25" s="17"/>
      <c r="V25" s="17"/>
      <c r="W25" s="17"/>
      <c r="X25" s="17"/>
      <c r="Y25" s="17" t="s">
        <v>139</v>
      </c>
      <c r="Z25" s="23"/>
      <c r="AA25" s="17"/>
      <c r="AB25" s="17"/>
      <c r="AC25" s="17"/>
      <c r="AD25" s="17" t="s">
        <v>95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 t="s">
        <v>95</v>
      </c>
      <c r="BR25" s="17" t="s">
        <v>95</v>
      </c>
      <c r="BS25" s="17"/>
      <c r="BT25" s="17"/>
      <c r="BU25" s="17" t="s">
        <v>241</v>
      </c>
      <c r="BV25" s="23"/>
      <c r="BW25" s="17"/>
      <c r="BX25" s="17" t="s">
        <v>242</v>
      </c>
      <c r="BY25" s="17" t="s">
        <v>96</v>
      </c>
      <c r="BZ25" s="17"/>
      <c r="CA25" s="17"/>
      <c r="CB25" s="17" t="s">
        <v>243</v>
      </c>
      <c r="CC25" s="17" t="s">
        <v>244</v>
      </c>
      <c r="CD25" s="17" t="s">
        <v>245</v>
      </c>
      <c r="CE25" s="17" t="s">
        <v>246</v>
      </c>
      <c r="CF25" s="17" t="s">
        <v>95</v>
      </c>
    </row>
    <row r="26" spans="1:84" ht="15" x14ac:dyDescent="0.2">
      <c r="A26" s="17" t="s">
        <v>83</v>
      </c>
      <c r="B26" s="18">
        <v>49022759</v>
      </c>
      <c r="C26" s="19">
        <v>45438.493750000001</v>
      </c>
      <c r="D26" s="17" t="s">
        <v>247</v>
      </c>
      <c r="E26" s="17" t="s">
        <v>101</v>
      </c>
      <c r="F26" s="20"/>
      <c r="G26" s="21">
        <v>99</v>
      </c>
      <c r="H26" s="21">
        <v>209.62</v>
      </c>
      <c r="I26" s="21">
        <v>11.62</v>
      </c>
      <c r="J26" s="17" t="s">
        <v>112</v>
      </c>
      <c r="K26" s="22">
        <v>35171</v>
      </c>
      <c r="L26" s="18">
        <v>28</v>
      </c>
      <c r="M26" s="17" t="s">
        <v>248</v>
      </c>
      <c r="N26" s="17" t="s">
        <v>249</v>
      </c>
      <c r="O26" s="17">
        <v>30350</v>
      </c>
      <c r="P26" s="17" t="s">
        <v>89</v>
      </c>
      <c r="Q26" s="17" t="s">
        <v>90</v>
      </c>
      <c r="R26" s="17" t="s">
        <v>132</v>
      </c>
      <c r="S26" s="17" t="s">
        <v>104</v>
      </c>
      <c r="T26" s="17"/>
      <c r="U26" s="17"/>
      <c r="V26" s="17"/>
      <c r="W26" s="17"/>
      <c r="X26" s="17"/>
      <c r="Y26" s="17" t="s">
        <v>93</v>
      </c>
      <c r="Z26" s="17" t="s">
        <v>250</v>
      </c>
      <c r="AA26" s="23"/>
      <c r="AB26" s="23"/>
      <c r="AC26" s="23"/>
      <c r="AD26" s="17" t="s">
        <v>95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 t="s">
        <v>95</v>
      </c>
      <c r="BK26" s="17"/>
      <c r="BL26" s="17"/>
      <c r="BM26" s="17"/>
      <c r="BN26" s="17"/>
      <c r="BO26" s="17"/>
      <c r="BP26" s="17"/>
      <c r="BQ26" s="17"/>
      <c r="BR26" s="17" t="s">
        <v>95</v>
      </c>
      <c r="BS26" s="17" t="s">
        <v>95</v>
      </c>
      <c r="BT26" s="17"/>
      <c r="BU26" s="17" t="s">
        <v>251</v>
      </c>
      <c r="BV26" s="17" t="s">
        <v>252</v>
      </c>
      <c r="BW26" s="17"/>
      <c r="BX26" s="17"/>
      <c r="BY26" s="17" t="s">
        <v>96</v>
      </c>
      <c r="BZ26" s="17"/>
      <c r="CA26" s="17"/>
      <c r="CB26" s="17" t="s">
        <v>253</v>
      </c>
      <c r="CC26" s="17" t="s">
        <v>254</v>
      </c>
      <c r="CD26" s="17" t="s">
        <v>255</v>
      </c>
      <c r="CE26" s="23"/>
      <c r="CF26" s="17" t="s">
        <v>95</v>
      </c>
    </row>
    <row r="27" spans="1:84" ht="15" x14ac:dyDescent="0.2">
      <c r="A27" s="17" t="s">
        <v>83</v>
      </c>
      <c r="B27" s="18">
        <v>48551140</v>
      </c>
      <c r="C27" s="19">
        <v>45422.710416666669</v>
      </c>
      <c r="D27" s="17" t="s">
        <v>256</v>
      </c>
      <c r="E27" s="17" t="s">
        <v>85</v>
      </c>
      <c r="F27" s="17" t="s">
        <v>156</v>
      </c>
      <c r="G27" s="21">
        <v>149</v>
      </c>
      <c r="H27" s="21">
        <v>210.22</v>
      </c>
      <c r="I27" s="21">
        <v>12.22</v>
      </c>
      <c r="J27" s="17" t="s">
        <v>112</v>
      </c>
      <c r="K27" s="22">
        <v>33001</v>
      </c>
      <c r="L27" s="18">
        <v>34</v>
      </c>
      <c r="M27" s="17" t="s">
        <v>257</v>
      </c>
      <c r="N27" s="17" t="s">
        <v>258</v>
      </c>
      <c r="O27" s="17">
        <v>30318</v>
      </c>
      <c r="P27" s="17" t="s">
        <v>89</v>
      </c>
      <c r="Q27" s="17" t="s">
        <v>90</v>
      </c>
      <c r="R27" s="17" t="s">
        <v>91</v>
      </c>
      <c r="S27" s="17" t="s">
        <v>259</v>
      </c>
      <c r="T27" s="17"/>
      <c r="U27" s="17"/>
      <c r="V27" s="17"/>
      <c r="W27" s="17"/>
      <c r="X27" s="17"/>
      <c r="Y27" s="17" t="s">
        <v>116</v>
      </c>
      <c r="Z27" s="17"/>
      <c r="AA27" s="17"/>
      <c r="AB27" s="17"/>
      <c r="AC27" s="17"/>
      <c r="AD27" s="17" t="s">
        <v>95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 t="s">
        <v>95</v>
      </c>
      <c r="BK27" s="17"/>
      <c r="BL27" s="17"/>
      <c r="BM27" s="17"/>
      <c r="BN27" s="17"/>
      <c r="BO27" s="17"/>
      <c r="BP27" s="17"/>
      <c r="BQ27" s="17"/>
      <c r="BR27" s="17" t="s">
        <v>95</v>
      </c>
      <c r="BS27" s="17"/>
      <c r="BT27" s="17"/>
      <c r="BU27" s="17" t="s">
        <v>260</v>
      </c>
      <c r="BV27" s="17" t="s">
        <v>187</v>
      </c>
      <c r="BW27" s="23"/>
      <c r="BX27" s="17"/>
      <c r="BY27" s="17" t="s">
        <v>96</v>
      </c>
      <c r="BZ27" s="17"/>
      <c r="CA27" s="17"/>
      <c r="CB27" s="17" t="s">
        <v>261</v>
      </c>
      <c r="CC27" s="17" t="s">
        <v>262</v>
      </c>
      <c r="CD27" s="17" t="s">
        <v>263</v>
      </c>
      <c r="CE27" s="17"/>
      <c r="CF27" s="17" t="s">
        <v>95</v>
      </c>
    </row>
    <row r="28" spans="1:84" ht="15" x14ac:dyDescent="0.2">
      <c r="A28" s="17" t="s">
        <v>83</v>
      </c>
      <c r="B28" s="18">
        <v>48337333</v>
      </c>
      <c r="C28" s="19">
        <v>45415.886805555558</v>
      </c>
      <c r="D28" s="17" t="s">
        <v>264</v>
      </c>
      <c r="E28" s="17" t="s">
        <v>101</v>
      </c>
      <c r="F28" s="20"/>
      <c r="G28" s="21">
        <v>99</v>
      </c>
      <c r="H28" s="21">
        <v>105.11</v>
      </c>
      <c r="I28" s="21">
        <v>6.11</v>
      </c>
      <c r="J28" s="17" t="s">
        <v>112</v>
      </c>
      <c r="K28" s="22">
        <v>35233</v>
      </c>
      <c r="L28" s="18">
        <v>28</v>
      </c>
      <c r="M28" s="17" t="s">
        <v>83</v>
      </c>
      <c r="N28" s="17" t="s">
        <v>87</v>
      </c>
      <c r="O28" s="17">
        <v>30307</v>
      </c>
      <c r="P28" s="17" t="s">
        <v>89</v>
      </c>
      <c r="Q28" s="17" t="s">
        <v>90</v>
      </c>
      <c r="R28" s="17" t="s">
        <v>113</v>
      </c>
      <c r="S28" s="17" t="s">
        <v>104</v>
      </c>
      <c r="T28" s="17"/>
      <c r="U28" s="17"/>
      <c r="V28" s="17"/>
      <c r="W28" s="17"/>
      <c r="X28" s="17"/>
      <c r="Y28" s="17" t="s">
        <v>124</v>
      </c>
      <c r="Z28" s="23"/>
      <c r="AA28" s="17"/>
      <c r="AB28" s="17"/>
      <c r="AC28" s="17"/>
      <c r="AD28" s="17" t="s">
        <v>95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 t="s">
        <v>95</v>
      </c>
      <c r="BF28" s="17"/>
      <c r="BG28" s="17"/>
      <c r="BH28" s="17"/>
      <c r="BI28" s="17"/>
      <c r="BJ28" s="17" t="s">
        <v>95</v>
      </c>
      <c r="BK28" s="17"/>
      <c r="BL28" s="17"/>
      <c r="BM28" s="17"/>
      <c r="BN28" s="17"/>
      <c r="BO28" s="17"/>
      <c r="BP28" s="17"/>
      <c r="BQ28" s="17"/>
      <c r="BR28" s="17"/>
      <c r="BS28" s="17" t="s">
        <v>95</v>
      </c>
      <c r="BT28" s="17"/>
      <c r="BU28" s="17" t="s">
        <v>265</v>
      </c>
      <c r="BV28" s="17" t="s">
        <v>266</v>
      </c>
      <c r="BW28" s="23"/>
      <c r="BX28" s="17"/>
      <c r="BY28" s="17" t="s">
        <v>96</v>
      </c>
      <c r="BZ28" s="17"/>
      <c r="CA28" s="17"/>
      <c r="CB28" s="17" t="s">
        <v>267</v>
      </c>
      <c r="CC28" s="17" t="s">
        <v>268</v>
      </c>
      <c r="CD28" s="17" t="s">
        <v>269</v>
      </c>
      <c r="CE28" s="23"/>
      <c r="CF28" s="17" t="s">
        <v>95</v>
      </c>
    </row>
    <row r="29" spans="1:84" ht="15" x14ac:dyDescent="0.2">
      <c r="A29" s="17" t="s">
        <v>83</v>
      </c>
      <c r="B29" s="18">
        <v>48185795</v>
      </c>
      <c r="C29" s="19">
        <v>45411.829861111109</v>
      </c>
      <c r="D29" s="17" t="s">
        <v>270</v>
      </c>
      <c r="E29" s="17" t="s">
        <v>101</v>
      </c>
      <c r="F29" s="20"/>
      <c r="G29" s="21">
        <v>99</v>
      </c>
      <c r="H29" s="21">
        <v>104.81</v>
      </c>
      <c r="I29" s="21">
        <v>5.81</v>
      </c>
      <c r="J29" s="17" t="s">
        <v>86</v>
      </c>
      <c r="K29" s="22">
        <v>31832</v>
      </c>
      <c r="L29" s="18">
        <v>37</v>
      </c>
      <c r="M29" s="17" t="s">
        <v>83</v>
      </c>
      <c r="N29" s="17" t="s">
        <v>87</v>
      </c>
      <c r="O29" s="17">
        <v>30033</v>
      </c>
      <c r="P29" s="17" t="s">
        <v>89</v>
      </c>
      <c r="Q29" s="17" t="s">
        <v>90</v>
      </c>
      <c r="R29" s="17" t="s">
        <v>91</v>
      </c>
      <c r="S29" s="17" t="s">
        <v>271</v>
      </c>
      <c r="T29" s="17"/>
      <c r="U29" s="17"/>
      <c r="V29" s="17"/>
      <c r="W29" s="17"/>
      <c r="X29" s="17"/>
      <c r="Y29" s="17" t="s">
        <v>124</v>
      </c>
      <c r="Z29" s="23"/>
      <c r="AA29" s="17"/>
      <c r="AB29" s="17"/>
      <c r="AC29" s="17"/>
      <c r="AD29" s="17" t="s">
        <v>95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 t="s">
        <v>95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 t="s">
        <v>95</v>
      </c>
      <c r="BU29" s="17"/>
      <c r="BV29" s="17" t="s">
        <v>272</v>
      </c>
      <c r="BW29" s="17"/>
      <c r="BX29" s="17"/>
      <c r="BY29" s="17" t="s">
        <v>96</v>
      </c>
      <c r="BZ29" s="17"/>
      <c r="CA29" s="17"/>
      <c r="CB29" s="17"/>
      <c r="CC29" s="17"/>
      <c r="CD29" s="17"/>
      <c r="CE29" s="17"/>
      <c r="CF29" s="17" t="s">
        <v>95</v>
      </c>
    </row>
    <row r="30" spans="1:84" ht="15" x14ac:dyDescent="0.2">
      <c r="A30" s="17" t="s">
        <v>83</v>
      </c>
      <c r="B30" s="18">
        <v>49148935</v>
      </c>
      <c r="C30" s="19">
        <v>45443.522222222222</v>
      </c>
      <c r="D30" s="17" t="s">
        <v>273</v>
      </c>
      <c r="E30" s="17" t="s">
        <v>101</v>
      </c>
      <c r="F30" s="20"/>
      <c r="G30" s="21">
        <v>99</v>
      </c>
      <c r="H30" s="21">
        <v>104.81</v>
      </c>
      <c r="I30" s="21">
        <v>5.81</v>
      </c>
      <c r="J30" s="17" t="s">
        <v>112</v>
      </c>
      <c r="K30" s="22">
        <v>34381</v>
      </c>
      <c r="L30" s="18">
        <v>30</v>
      </c>
      <c r="M30" s="17" t="s">
        <v>274</v>
      </c>
      <c r="N30" s="17" t="s">
        <v>87</v>
      </c>
      <c r="O30" s="17">
        <v>30241</v>
      </c>
      <c r="P30" s="17" t="s">
        <v>89</v>
      </c>
      <c r="Q30" s="17" t="s">
        <v>90</v>
      </c>
      <c r="R30" s="17" t="s">
        <v>113</v>
      </c>
      <c r="S30" s="17" t="s">
        <v>104</v>
      </c>
      <c r="T30" s="17"/>
      <c r="U30" s="17"/>
      <c r="V30" s="17"/>
      <c r="W30" s="17"/>
      <c r="X30" s="17"/>
      <c r="Y30" s="17" t="s">
        <v>139</v>
      </c>
      <c r="Z30" s="23"/>
      <c r="AA30" s="17"/>
      <c r="AB30" s="17"/>
      <c r="AC30" s="17"/>
      <c r="AD30" s="17" t="s">
        <v>95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 t="s">
        <v>95</v>
      </c>
      <c r="BU30" s="17"/>
      <c r="BV30" s="17"/>
      <c r="BW30" s="17"/>
      <c r="BX30" s="17"/>
      <c r="BY30" s="17" t="s">
        <v>96</v>
      </c>
      <c r="BZ30" s="17"/>
      <c r="CA30" s="17"/>
      <c r="CB30" s="17"/>
      <c r="CC30" s="17"/>
      <c r="CD30" s="17" t="s">
        <v>275</v>
      </c>
      <c r="CE30" s="17" t="s">
        <v>276</v>
      </c>
      <c r="CF30" s="17" t="s">
        <v>95</v>
      </c>
    </row>
    <row r="31" spans="1:84" ht="15" x14ac:dyDescent="0.2">
      <c r="A31" s="17" t="s">
        <v>83</v>
      </c>
      <c r="B31" s="18">
        <v>49082628</v>
      </c>
      <c r="C31" s="19">
        <v>45441.394444444442</v>
      </c>
      <c r="D31" s="17" t="s">
        <v>277</v>
      </c>
      <c r="E31" s="17" t="s">
        <v>101</v>
      </c>
      <c r="F31" s="20"/>
      <c r="G31" s="21">
        <v>99</v>
      </c>
      <c r="H31" s="21">
        <v>209.62</v>
      </c>
      <c r="I31" s="21">
        <v>11.62</v>
      </c>
      <c r="J31" s="17" t="s">
        <v>86</v>
      </c>
      <c r="K31" s="22">
        <v>34041</v>
      </c>
      <c r="L31" s="18">
        <v>31</v>
      </c>
      <c r="M31" s="17" t="s">
        <v>131</v>
      </c>
      <c r="N31" s="17" t="s">
        <v>87</v>
      </c>
      <c r="O31" s="17">
        <v>30342</v>
      </c>
      <c r="P31" s="17" t="s">
        <v>89</v>
      </c>
      <c r="Q31" s="17" t="s">
        <v>90</v>
      </c>
      <c r="R31" s="17" t="s">
        <v>103</v>
      </c>
      <c r="S31" s="17" t="s">
        <v>104</v>
      </c>
      <c r="T31" s="17"/>
      <c r="U31" s="17"/>
      <c r="V31" s="17"/>
      <c r="W31" s="17"/>
      <c r="X31" s="17"/>
      <c r="Y31" s="17" t="s">
        <v>116</v>
      </c>
      <c r="Z31" s="17"/>
      <c r="AA31" s="17" t="s">
        <v>95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 t="s">
        <v>95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 t="s">
        <v>95</v>
      </c>
      <c r="BT31" s="17"/>
      <c r="BU31" s="17" t="s">
        <v>278</v>
      </c>
      <c r="BV31" s="17"/>
      <c r="BW31" s="17"/>
      <c r="BX31" s="17"/>
      <c r="BY31" s="17" t="s">
        <v>96</v>
      </c>
      <c r="BZ31" s="17"/>
      <c r="CA31" s="17"/>
      <c r="CB31" s="17" t="s">
        <v>279</v>
      </c>
      <c r="CC31" s="17" t="s">
        <v>280</v>
      </c>
      <c r="CD31" s="17" t="s">
        <v>281</v>
      </c>
      <c r="CE31" s="17"/>
      <c r="CF31" s="17" t="s">
        <v>95</v>
      </c>
    </row>
    <row r="32" spans="1:84" ht="15" x14ac:dyDescent="0.2">
      <c r="A32" s="17" t="s">
        <v>83</v>
      </c>
      <c r="B32" s="18">
        <v>49036460</v>
      </c>
      <c r="C32" s="19">
        <v>45438.970833333333</v>
      </c>
      <c r="D32" s="17" t="s">
        <v>282</v>
      </c>
      <c r="E32" s="17" t="s">
        <v>101</v>
      </c>
      <c r="F32" s="20"/>
      <c r="G32" s="21">
        <v>99</v>
      </c>
      <c r="H32" s="21">
        <v>209.62</v>
      </c>
      <c r="I32" s="21">
        <v>11.62</v>
      </c>
      <c r="J32" s="17" t="s">
        <v>112</v>
      </c>
      <c r="K32" s="22">
        <v>33264</v>
      </c>
      <c r="L32" s="18">
        <v>33</v>
      </c>
      <c r="M32" s="17" t="s">
        <v>283</v>
      </c>
      <c r="N32" s="17" t="s">
        <v>87</v>
      </c>
      <c r="O32" s="17">
        <v>30062</v>
      </c>
      <c r="P32" s="17" t="s">
        <v>89</v>
      </c>
      <c r="Q32" s="17" t="s">
        <v>90</v>
      </c>
      <c r="R32" s="17" t="s">
        <v>91</v>
      </c>
      <c r="S32" s="17" t="s">
        <v>104</v>
      </c>
      <c r="T32" s="17"/>
      <c r="U32" s="17"/>
      <c r="V32" s="17"/>
      <c r="W32" s="17"/>
      <c r="X32" s="17"/>
      <c r="Y32" s="17" t="s">
        <v>93</v>
      </c>
      <c r="Z32" s="17" t="s">
        <v>284</v>
      </c>
      <c r="AA32" s="23"/>
      <c r="AB32" s="17"/>
      <c r="AC32" s="17"/>
      <c r="AD32" s="17" t="s">
        <v>95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 t="s">
        <v>95</v>
      </c>
      <c r="BN32" s="17"/>
      <c r="BO32" s="17"/>
      <c r="BP32" s="17"/>
      <c r="BQ32" s="17"/>
      <c r="BR32" s="17"/>
      <c r="BS32" s="17"/>
      <c r="BT32" s="17" t="s">
        <v>95</v>
      </c>
      <c r="BU32" s="17"/>
      <c r="BV32" s="17"/>
      <c r="BW32" s="17"/>
      <c r="BX32" s="17"/>
      <c r="BY32" s="17" t="s">
        <v>96</v>
      </c>
      <c r="BZ32" s="17"/>
      <c r="CA32" s="17"/>
      <c r="CB32" s="17" t="s">
        <v>285</v>
      </c>
      <c r="CC32" s="17"/>
      <c r="CD32" s="17" t="s">
        <v>286</v>
      </c>
      <c r="CE32" s="17"/>
      <c r="CF32" s="17" t="s">
        <v>95</v>
      </c>
    </row>
    <row r="33" spans="1:84" ht="15" x14ac:dyDescent="0.2">
      <c r="A33" s="17" t="s">
        <v>83</v>
      </c>
      <c r="B33" s="18">
        <v>48435249</v>
      </c>
      <c r="C33" s="19">
        <v>45418.883333333331</v>
      </c>
      <c r="D33" s="17" t="s">
        <v>287</v>
      </c>
      <c r="E33" s="17" t="s">
        <v>85</v>
      </c>
      <c r="F33" s="17" t="s">
        <v>156</v>
      </c>
      <c r="G33" s="21">
        <v>99</v>
      </c>
      <c r="H33" s="21">
        <v>104.81</v>
      </c>
      <c r="I33" s="21">
        <v>5.81</v>
      </c>
      <c r="J33" s="17" t="s">
        <v>112</v>
      </c>
      <c r="K33" s="22">
        <v>32100</v>
      </c>
      <c r="L33" s="18">
        <v>36</v>
      </c>
      <c r="M33" s="17" t="s">
        <v>142</v>
      </c>
      <c r="N33" s="17" t="s">
        <v>87</v>
      </c>
      <c r="O33" s="17">
        <v>30092</v>
      </c>
      <c r="P33" s="17" t="s">
        <v>89</v>
      </c>
      <c r="Q33" s="17" t="s">
        <v>90</v>
      </c>
      <c r="R33" s="17" t="s">
        <v>113</v>
      </c>
      <c r="S33" s="17" t="s">
        <v>104</v>
      </c>
      <c r="T33" s="17"/>
      <c r="U33" s="17"/>
      <c r="V33" s="17"/>
      <c r="W33" s="17"/>
      <c r="X33" s="17"/>
      <c r="Y33" s="17" t="s">
        <v>124</v>
      </c>
      <c r="Z33" s="23"/>
      <c r="AA33" s="17"/>
      <c r="AB33" s="17" t="s">
        <v>95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 t="s">
        <v>95</v>
      </c>
      <c r="BM33" s="17"/>
      <c r="BN33" s="17"/>
      <c r="BO33" s="17"/>
      <c r="BP33" s="17"/>
      <c r="BQ33" s="17"/>
      <c r="BR33" s="17" t="s">
        <v>95</v>
      </c>
      <c r="BS33" s="17" t="s">
        <v>95</v>
      </c>
      <c r="BT33" s="17"/>
      <c r="BU33" s="17" t="s">
        <v>288</v>
      </c>
      <c r="BV33" s="23"/>
      <c r="BW33" s="23"/>
      <c r="BX33" s="23"/>
      <c r="BY33" s="17" t="s">
        <v>96</v>
      </c>
      <c r="BZ33" s="17"/>
      <c r="CA33" s="17"/>
      <c r="CB33" s="17" t="s">
        <v>289</v>
      </c>
      <c r="CC33" s="17" t="s">
        <v>290</v>
      </c>
      <c r="CD33" s="17" t="s">
        <v>291</v>
      </c>
      <c r="CE33" s="23"/>
      <c r="CF33" s="17" t="s">
        <v>95</v>
      </c>
    </row>
    <row r="34" spans="1:84" ht="15" x14ac:dyDescent="0.2">
      <c r="A34" s="17" t="s">
        <v>83</v>
      </c>
      <c r="B34" s="18">
        <v>48608993</v>
      </c>
      <c r="C34" s="19">
        <v>45424.645833333336</v>
      </c>
      <c r="D34" s="17" t="s">
        <v>292</v>
      </c>
      <c r="E34" s="17" t="s">
        <v>101</v>
      </c>
      <c r="F34" s="17" t="s">
        <v>172</v>
      </c>
      <c r="G34" s="21">
        <v>99</v>
      </c>
      <c r="H34" s="21">
        <v>67.180000000000007</v>
      </c>
      <c r="I34" s="21">
        <v>4.18</v>
      </c>
      <c r="J34" s="17" t="s">
        <v>86</v>
      </c>
      <c r="K34" s="22">
        <v>35410</v>
      </c>
      <c r="L34" s="18">
        <v>27</v>
      </c>
      <c r="M34" s="17" t="s">
        <v>83</v>
      </c>
      <c r="N34" s="17" t="s">
        <v>87</v>
      </c>
      <c r="O34" s="17" t="s">
        <v>293</v>
      </c>
      <c r="P34" s="17" t="s">
        <v>89</v>
      </c>
      <c r="Q34" s="17" t="s">
        <v>90</v>
      </c>
      <c r="R34" s="17" t="s">
        <v>113</v>
      </c>
      <c r="S34" s="17" t="s">
        <v>104</v>
      </c>
      <c r="T34" s="17"/>
      <c r="U34" s="17"/>
      <c r="V34" s="17"/>
      <c r="W34" s="17"/>
      <c r="X34" s="17"/>
      <c r="Y34" s="17" t="s">
        <v>105</v>
      </c>
      <c r="Z34" s="17"/>
      <c r="AA34" s="17"/>
      <c r="AB34" s="17"/>
      <c r="AC34" s="17"/>
      <c r="AD34" s="17" t="s">
        <v>95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 t="s">
        <v>95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 t="s">
        <v>95</v>
      </c>
      <c r="BU34" s="17"/>
      <c r="BV34" s="17"/>
      <c r="BW34" s="17"/>
      <c r="BX34" s="17"/>
      <c r="BY34" s="17" t="s">
        <v>96</v>
      </c>
      <c r="BZ34" s="17"/>
      <c r="CA34" s="17"/>
      <c r="CB34" s="17"/>
      <c r="CC34" s="17"/>
      <c r="CD34" s="17"/>
      <c r="CE34" s="17"/>
      <c r="CF34" s="17" t="s">
        <v>95</v>
      </c>
    </row>
    <row r="35" spans="1:84" ht="15" x14ac:dyDescent="0.2">
      <c r="A35" s="17" t="s">
        <v>83</v>
      </c>
      <c r="B35" s="18">
        <v>47655273</v>
      </c>
      <c r="C35" s="19">
        <v>45396.834027777775</v>
      </c>
      <c r="D35" s="17" t="s">
        <v>294</v>
      </c>
      <c r="E35" s="17" t="s">
        <v>101</v>
      </c>
      <c r="F35" s="20"/>
      <c r="G35" s="21">
        <v>99</v>
      </c>
      <c r="H35" s="21">
        <v>104.81</v>
      </c>
      <c r="I35" s="21">
        <v>5.81</v>
      </c>
      <c r="J35" s="17" t="s">
        <v>102</v>
      </c>
      <c r="K35" s="22">
        <v>31195</v>
      </c>
      <c r="L35" s="18">
        <v>39</v>
      </c>
      <c r="M35" s="17" t="s">
        <v>295</v>
      </c>
      <c r="N35" s="17" t="s">
        <v>87</v>
      </c>
      <c r="O35" s="17">
        <v>30030</v>
      </c>
      <c r="P35" s="17" t="s">
        <v>89</v>
      </c>
      <c r="Q35" s="17" t="s">
        <v>90</v>
      </c>
      <c r="R35" s="17" t="s">
        <v>91</v>
      </c>
      <c r="S35" s="17" t="s">
        <v>296</v>
      </c>
      <c r="T35" s="23"/>
      <c r="U35" s="17"/>
      <c r="V35" s="17"/>
      <c r="W35" s="17"/>
      <c r="X35" s="17"/>
      <c r="Y35" s="17" t="s">
        <v>116</v>
      </c>
      <c r="Z35" s="17"/>
      <c r="AA35" s="17"/>
      <c r="AB35" s="17"/>
      <c r="AC35" s="17"/>
      <c r="AD35" s="17" t="s">
        <v>95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 t="s">
        <v>95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 t="s">
        <v>95</v>
      </c>
      <c r="BU35" s="17"/>
      <c r="BV35" s="17" t="s">
        <v>297</v>
      </c>
      <c r="BW35" s="23"/>
      <c r="BX35" s="17"/>
      <c r="BY35" s="17" t="s">
        <v>96</v>
      </c>
      <c r="BZ35" s="17"/>
      <c r="CA35" s="17"/>
      <c r="CB35" s="17" t="s">
        <v>298</v>
      </c>
      <c r="CC35" s="17" t="s">
        <v>299</v>
      </c>
      <c r="CD35" s="17" t="s">
        <v>300</v>
      </c>
      <c r="CE35" s="17" t="s">
        <v>301</v>
      </c>
      <c r="CF35" s="17" t="s">
        <v>95</v>
      </c>
    </row>
    <row r="36" spans="1:84" ht="15" x14ac:dyDescent="0.2">
      <c r="A36" s="17" t="s">
        <v>83</v>
      </c>
      <c r="B36" s="18">
        <v>49082628</v>
      </c>
      <c r="C36" s="19">
        <v>45441.394444444442</v>
      </c>
      <c r="D36" s="17" t="s">
        <v>302</v>
      </c>
      <c r="E36" s="17" t="s">
        <v>101</v>
      </c>
      <c r="F36" s="20"/>
      <c r="G36" s="21">
        <v>99</v>
      </c>
      <c r="H36" s="21">
        <v>209.62</v>
      </c>
      <c r="I36" s="21">
        <v>11.62</v>
      </c>
      <c r="J36" s="17" t="s">
        <v>112</v>
      </c>
      <c r="K36" s="22">
        <v>31447</v>
      </c>
      <c r="L36" s="18">
        <v>38</v>
      </c>
      <c r="M36" s="17" t="s">
        <v>303</v>
      </c>
      <c r="N36" s="17" t="s">
        <v>304</v>
      </c>
      <c r="O36" s="17">
        <v>30339</v>
      </c>
      <c r="P36" s="17" t="s">
        <v>89</v>
      </c>
      <c r="Q36" s="17" t="s">
        <v>90</v>
      </c>
      <c r="R36" s="17" t="s">
        <v>132</v>
      </c>
      <c r="S36" s="17" t="s">
        <v>104</v>
      </c>
      <c r="T36" s="17"/>
      <c r="U36" s="17"/>
      <c r="V36" s="17"/>
      <c r="W36" s="17"/>
      <c r="X36" s="17"/>
      <c r="Y36" s="17" t="s">
        <v>139</v>
      </c>
      <c r="Z36" s="23"/>
      <c r="AA36" s="17" t="s">
        <v>95</v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 t="s">
        <v>95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 t="s">
        <v>95</v>
      </c>
      <c r="BU36" s="17"/>
      <c r="BV36" s="17"/>
      <c r="BW36" s="17"/>
      <c r="BX36" s="17"/>
      <c r="BY36" s="17" t="s">
        <v>96</v>
      </c>
      <c r="BZ36" s="17"/>
      <c r="CA36" s="17"/>
      <c r="CB36" s="17" t="s">
        <v>305</v>
      </c>
      <c r="CC36" s="17" t="s">
        <v>306</v>
      </c>
      <c r="CD36" s="17" t="s">
        <v>307</v>
      </c>
      <c r="CE36" s="23"/>
      <c r="CF36" s="17" t="s">
        <v>95</v>
      </c>
    </row>
    <row r="37" spans="1:84" ht="15" x14ac:dyDescent="0.2">
      <c r="A37" s="17" t="s">
        <v>83</v>
      </c>
      <c r="B37" s="18">
        <v>48030238</v>
      </c>
      <c r="C37" s="19">
        <v>45407.76666666667</v>
      </c>
      <c r="D37" s="17" t="s">
        <v>308</v>
      </c>
      <c r="E37" s="17" t="s">
        <v>101</v>
      </c>
      <c r="F37" s="17"/>
      <c r="G37" s="21">
        <v>99</v>
      </c>
      <c r="H37" s="21">
        <v>105.11</v>
      </c>
      <c r="I37" s="21">
        <v>6.11</v>
      </c>
      <c r="J37" s="17" t="s">
        <v>112</v>
      </c>
      <c r="K37" s="22">
        <v>33809</v>
      </c>
      <c r="L37" s="18">
        <v>31</v>
      </c>
      <c r="M37" s="17" t="s">
        <v>222</v>
      </c>
      <c r="N37" s="17" t="s">
        <v>87</v>
      </c>
      <c r="O37" s="17">
        <v>30318</v>
      </c>
      <c r="P37" s="17" t="s">
        <v>89</v>
      </c>
      <c r="Q37" s="17" t="s">
        <v>90</v>
      </c>
      <c r="R37" s="17" t="s">
        <v>103</v>
      </c>
      <c r="S37" s="17" t="s">
        <v>104</v>
      </c>
      <c r="T37" s="17"/>
      <c r="U37" s="17"/>
      <c r="V37" s="17"/>
      <c r="W37" s="17"/>
      <c r="X37" s="17"/>
      <c r="Y37" s="17" t="s">
        <v>139</v>
      </c>
      <c r="Z37" s="17"/>
      <c r="AA37" s="17"/>
      <c r="AB37" s="17"/>
      <c r="AC37" s="17"/>
      <c r="AD37" s="17" t="s">
        <v>95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 t="s">
        <v>95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 t="s">
        <v>95</v>
      </c>
      <c r="BU37" s="17"/>
      <c r="BV37" s="17" t="s">
        <v>309</v>
      </c>
      <c r="BW37" s="17"/>
      <c r="BX37" s="17"/>
      <c r="BY37" s="17" t="s">
        <v>96</v>
      </c>
      <c r="BZ37" s="17"/>
      <c r="CA37" s="17"/>
      <c r="CB37" s="17" t="s">
        <v>310</v>
      </c>
      <c r="CC37" s="17" t="s">
        <v>311</v>
      </c>
      <c r="CD37" s="17" t="s">
        <v>312</v>
      </c>
      <c r="CE37" s="17" t="s">
        <v>313</v>
      </c>
      <c r="CF37" s="17" t="s">
        <v>95</v>
      </c>
    </row>
    <row r="38" spans="1:84" ht="15" x14ac:dyDescent="0.2">
      <c r="A38" s="17" t="s">
        <v>83</v>
      </c>
      <c r="B38" s="18">
        <v>48330595</v>
      </c>
      <c r="C38" s="19">
        <v>45415.777083333334</v>
      </c>
      <c r="D38" s="17" t="s">
        <v>314</v>
      </c>
      <c r="E38" s="17" t="s">
        <v>101</v>
      </c>
      <c r="F38" s="20"/>
      <c r="G38" s="21">
        <v>99</v>
      </c>
      <c r="H38" s="21">
        <v>105.11</v>
      </c>
      <c r="I38" s="21">
        <v>6.11</v>
      </c>
      <c r="J38" s="17" t="s">
        <v>86</v>
      </c>
      <c r="K38" s="22">
        <v>35851</v>
      </c>
      <c r="L38" s="18">
        <v>26</v>
      </c>
      <c r="M38" s="17" t="s">
        <v>315</v>
      </c>
      <c r="N38" s="17" t="s">
        <v>316</v>
      </c>
      <c r="O38" s="17">
        <v>30344</v>
      </c>
      <c r="P38" s="17" t="s">
        <v>89</v>
      </c>
      <c r="Q38" s="17" t="s">
        <v>90</v>
      </c>
      <c r="R38" s="17" t="s">
        <v>113</v>
      </c>
      <c r="S38" s="17" t="s">
        <v>104</v>
      </c>
      <c r="T38" s="17"/>
      <c r="U38" s="17"/>
      <c r="V38" s="17"/>
      <c r="W38" s="17"/>
      <c r="X38" s="17"/>
      <c r="Y38" s="17" t="s">
        <v>105</v>
      </c>
      <c r="Z38" s="17"/>
      <c r="AA38" s="17" t="s">
        <v>95</v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 t="s">
        <v>95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 t="s">
        <v>95</v>
      </c>
      <c r="BT38" s="17"/>
      <c r="BU38" s="17" t="s">
        <v>117</v>
      </c>
      <c r="BV38" s="23"/>
      <c r="BW38" s="17"/>
      <c r="BX38" s="17"/>
      <c r="BY38" s="17" t="s">
        <v>96</v>
      </c>
      <c r="BZ38" s="17"/>
      <c r="CA38" s="17"/>
      <c r="CB38" s="17" t="s">
        <v>317</v>
      </c>
      <c r="CC38" s="17" t="s">
        <v>318</v>
      </c>
      <c r="CD38" s="17" t="s">
        <v>319</v>
      </c>
      <c r="CE38" s="17" t="s">
        <v>320</v>
      </c>
      <c r="CF38" s="17" t="s">
        <v>95</v>
      </c>
    </row>
    <row r="39" spans="1:84" ht="15" x14ac:dyDescent="0.2">
      <c r="A39" s="17" t="s">
        <v>83</v>
      </c>
      <c r="B39" s="18">
        <v>49231202</v>
      </c>
      <c r="C39" s="19">
        <v>45445.806944444441</v>
      </c>
      <c r="D39" s="17" t="s">
        <v>314</v>
      </c>
      <c r="E39" s="17" t="s">
        <v>85</v>
      </c>
      <c r="F39" s="20" t="s">
        <v>233</v>
      </c>
      <c r="G39" s="21">
        <v>149</v>
      </c>
      <c r="H39" s="21">
        <v>0</v>
      </c>
      <c r="I39" s="21">
        <v>0</v>
      </c>
      <c r="J39" s="17" t="s">
        <v>112</v>
      </c>
      <c r="K39" s="22">
        <v>35205</v>
      </c>
      <c r="L39" s="18">
        <v>27</v>
      </c>
      <c r="M39" s="17" t="s">
        <v>321</v>
      </c>
      <c r="N39" s="17" t="s">
        <v>87</v>
      </c>
      <c r="O39" s="17">
        <v>30341</v>
      </c>
      <c r="P39" s="17" t="s">
        <v>89</v>
      </c>
      <c r="Q39" s="17" t="s">
        <v>90</v>
      </c>
      <c r="R39" s="17" t="s">
        <v>113</v>
      </c>
      <c r="S39" s="17" t="s">
        <v>104</v>
      </c>
      <c r="T39" s="17"/>
      <c r="U39" s="17"/>
      <c r="V39" s="17"/>
      <c r="W39" s="17"/>
      <c r="X39" s="17"/>
      <c r="Y39" s="17" t="s">
        <v>116</v>
      </c>
      <c r="Z39" s="17"/>
      <c r="AA39" s="17"/>
      <c r="AB39" s="17"/>
      <c r="AC39" s="17"/>
      <c r="AD39" s="17" t="s">
        <v>95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 t="s">
        <v>95</v>
      </c>
      <c r="BR39" s="17"/>
      <c r="BS39" s="17" t="s">
        <v>95</v>
      </c>
      <c r="BT39" s="17"/>
      <c r="BU39" s="17" t="s">
        <v>322</v>
      </c>
      <c r="BV39" s="23"/>
      <c r="BW39" s="17"/>
      <c r="BX39" s="17" t="s">
        <v>323</v>
      </c>
      <c r="BY39" s="17" t="s">
        <v>96</v>
      </c>
      <c r="BZ39" s="17"/>
      <c r="CA39" s="17"/>
      <c r="CB39" s="17" t="s">
        <v>324</v>
      </c>
      <c r="CC39" s="17" t="s">
        <v>325</v>
      </c>
      <c r="CD39" s="17" t="s">
        <v>326</v>
      </c>
      <c r="CE39" s="17" t="s">
        <v>327</v>
      </c>
      <c r="CF39" s="17" t="s">
        <v>95</v>
      </c>
    </row>
    <row r="40" spans="1:84" ht="15" x14ac:dyDescent="0.2">
      <c r="A40" s="17" t="s">
        <v>83</v>
      </c>
      <c r="B40" s="18">
        <v>48436332</v>
      </c>
      <c r="C40" s="19">
        <v>45418.90902777778</v>
      </c>
      <c r="D40" s="17" t="s">
        <v>328</v>
      </c>
      <c r="E40" s="17" t="s">
        <v>85</v>
      </c>
      <c r="F40" s="17" t="s">
        <v>156</v>
      </c>
      <c r="G40" s="21">
        <v>99</v>
      </c>
      <c r="H40" s="21">
        <v>104.81</v>
      </c>
      <c r="I40" s="21">
        <v>5.81</v>
      </c>
      <c r="J40" s="17" t="s">
        <v>86</v>
      </c>
      <c r="K40" s="24">
        <v>34031</v>
      </c>
      <c r="L40" s="18">
        <v>31</v>
      </c>
      <c r="M40" s="17" t="s">
        <v>329</v>
      </c>
      <c r="N40" s="17" t="s">
        <v>87</v>
      </c>
      <c r="O40" s="17">
        <v>30360</v>
      </c>
      <c r="P40" s="17" t="s">
        <v>89</v>
      </c>
      <c r="Q40" s="17" t="s">
        <v>90</v>
      </c>
      <c r="R40" s="17" t="s">
        <v>91</v>
      </c>
      <c r="S40" s="17" t="s">
        <v>104</v>
      </c>
      <c r="T40" s="17"/>
      <c r="U40" s="17"/>
      <c r="V40" s="17"/>
      <c r="W40" s="17"/>
      <c r="X40" s="17"/>
      <c r="Y40" s="17" t="s">
        <v>139</v>
      </c>
      <c r="Z40" s="23"/>
      <c r="AA40" s="17" t="s">
        <v>95</v>
      </c>
      <c r="AB40" s="17" t="s">
        <v>95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 t="s">
        <v>95</v>
      </c>
      <c r="BA40" s="17" t="s">
        <v>95</v>
      </c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 t="s">
        <v>95</v>
      </c>
      <c r="BS40" s="17" t="s">
        <v>95</v>
      </c>
      <c r="BT40" s="17"/>
      <c r="BU40" s="17" t="s">
        <v>330</v>
      </c>
      <c r="BV40" s="23"/>
      <c r="BW40" s="23"/>
      <c r="BX40" s="17"/>
      <c r="BY40" s="17" t="s">
        <v>96</v>
      </c>
      <c r="BZ40" s="17"/>
      <c r="CA40" s="17"/>
      <c r="CB40" s="17" t="s">
        <v>331</v>
      </c>
      <c r="CC40" s="17" t="s">
        <v>332</v>
      </c>
      <c r="CD40" s="17" t="s">
        <v>333</v>
      </c>
      <c r="CE40" s="17" t="s">
        <v>334</v>
      </c>
      <c r="CF40" s="17" t="s">
        <v>95</v>
      </c>
    </row>
    <row r="41" spans="1:84" ht="15" x14ac:dyDescent="0.2">
      <c r="A41" s="17" t="s">
        <v>83</v>
      </c>
      <c r="B41" s="18">
        <v>46920921</v>
      </c>
      <c r="C41" s="19">
        <v>45376.888194444444</v>
      </c>
      <c r="D41" s="17" t="s">
        <v>335</v>
      </c>
      <c r="E41" s="17" t="s">
        <v>101</v>
      </c>
      <c r="F41" s="17" t="s">
        <v>198</v>
      </c>
      <c r="G41" s="21">
        <v>99</v>
      </c>
      <c r="H41" s="21">
        <v>0</v>
      </c>
      <c r="I41" s="21">
        <v>0</v>
      </c>
      <c r="J41" s="17" t="s">
        <v>112</v>
      </c>
      <c r="K41" s="22">
        <v>34084</v>
      </c>
      <c r="L41" s="18">
        <v>31</v>
      </c>
      <c r="M41" s="17" t="s">
        <v>336</v>
      </c>
      <c r="N41" s="17" t="s">
        <v>87</v>
      </c>
      <c r="O41" s="17">
        <v>60061</v>
      </c>
      <c r="P41" s="17" t="s">
        <v>89</v>
      </c>
      <c r="Q41" s="17" t="s">
        <v>90</v>
      </c>
      <c r="R41" s="17" t="s">
        <v>91</v>
      </c>
      <c r="S41" s="17" t="s">
        <v>104</v>
      </c>
      <c r="T41" s="17"/>
      <c r="U41" s="17"/>
      <c r="V41" s="17"/>
      <c r="W41" s="17"/>
      <c r="X41" s="17"/>
      <c r="Y41" s="17" t="s">
        <v>105</v>
      </c>
      <c r="Z41" s="17"/>
      <c r="AA41" s="17" t="s">
        <v>95</v>
      </c>
      <c r="AB41" s="17" t="s">
        <v>95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95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 t="s">
        <v>95</v>
      </c>
      <c r="BS41" s="17"/>
      <c r="BT41" s="17"/>
      <c r="BU41" s="17" t="s">
        <v>337</v>
      </c>
      <c r="BV41" s="17"/>
      <c r="BW41" s="17"/>
      <c r="BX41" s="17"/>
      <c r="BY41" s="17" t="s">
        <v>96</v>
      </c>
      <c r="BZ41" s="17"/>
      <c r="CA41" s="17"/>
      <c r="CB41" s="17" t="s">
        <v>338</v>
      </c>
      <c r="CC41" s="17" t="s">
        <v>339</v>
      </c>
      <c r="CD41" s="17" t="s">
        <v>340</v>
      </c>
      <c r="CE41" s="17"/>
      <c r="CF41" s="17" t="s">
        <v>95</v>
      </c>
    </row>
    <row r="42" spans="1:84" ht="15" x14ac:dyDescent="0.2">
      <c r="A42" s="17" t="s">
        <v>83</v>
      </c>
      <c r="B42" s="18">
        <v>46954137</v>
      </c>
      <c r="C42" s="19">
        <v>45378.405555555553</v>
      </c>
      <c r="D42" s="17" t="s">
        <v>341</v>
      </c>
      <c r="E42" s="17" t="s">
        <v>101</v>
      </c>
      <c r="F42" s="20"/>
      <c r="G42" s="21">
        <v>99</v>
      </c>
      <c r="H42" s="21">
        <v>104.51</v>
      </c>
      <c r="I42" s="21">
        <v>5.52</v>
      </c>
      <c r="J42" s="17" t="s">
        <v>112</v>
      </c>
      <c r="K42" s="22">
        <v>31138</v>
      </c>
      <c r="L42" s="18">
        <v>39</v>
      </c>
      <c r="M42" s="17" t="s">
        <v>142</v>
      </c>
      <c r="N42" s="17" t="s">
        <v>87</v>
      </c>
      <c r="O42" s="17">
        <v>30329</v>
      </c>
      <c r="P42" s="17" t="s">
        <v>89</v>
      </c>
      <c r="Q42" s="17" t="s">
        <v>90</v>
      </c>
      <c r="R42" s="17" t="s">
        <v>91</v>
      </c>
      <c r="S42" s="17" t="s">
        <v>104</v>
      </c>
      <c r="T42" s="17"/>
      <c r="U42" s="17"/>
      <c r="V42" s="17"/>
      <c r="W42" s="17"/>
      <c r="X42" s="17"/>
      <c r="Y42" s="17" t="s">
        <v>116</v>
      </c>
      <c r="Z42" s="17"/>
      <c r="AA42" s="17" t="s">
        <v>95</v>
      </c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95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 t="s">
        <v>95</v>
      </c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 t="s">
        <v>95</v>
      </c>
      <c r="BU42" s="17"/>
      <c r="BV42" s="17"/>
      <c r="BW42" s="17"/>
      <c r="BX42" s="17"/>
      <c r="BY42" s="17" t="s">
        <v>96</v>
      </c>
      <c r="BZ42" s="17"/>
      <c r="CA42" s="17"/>
      <c r="CB42" s="17" t="s">
        <v>342</v>
      </c>
      <c r="CC42" s="17" t="s">
        <v>343</v>
      </c>
      <c r="CD42" s="17" t="s">
        <v>344</v>
      </c>
      <c r="CE42" s="17"/>
      <c r="CF42" s="17" t="s">
        <v>95</v>
      </c>
    </row>
    <row r="43" spans="1:84" ht="15" x14ac:dyDescent="0.2">
      <c r="A43" s="17" t="s">
        <v>83</v>
      </c>
      <c r="B43" s="18">
        <v>49310146</v>
      </c>
      <c r="C43" s="19">
        <v>45448.861805555556</v>
      </c>
      <c r="D43" s="17" t="s">
        <v>345</v>
      </c>
      <c r="E43" s="17" t="s">
        <v>85</v>
      </c>
      <c r="F43" s="20"/>
      <c r="G43" s="21">
        <v>149</v>
      </c>
      <c r="H43" s="21">
        <v>157.08000000000001</v>
      </c>
      <c r="I43" s="21">
        <v>8.08</v>
      </c>
      <c r="J43" s="17" t="s">
        <v>112</v>
      </c>
      <c r="K43" s="22">
        <v>33520</v>
      </c>
      <c r="L43" s="18">
        <v>32</v>
      </c>
      <c r="M43" s="17" t="s">
        <v>83</v>
      </c>
      <c r="N43" s="17" t="s">
        <v>87</v>
      </c>
      <c r="O43" s="17">
        <v>33180</v>
      </c>
      <c r="P43" s="17" t="s">
        <v>89</v>
      </c>
      <c r="Q43" s="17" t="s">
        <v>90</v>
      </c>
      <c r="R43" s="17" t="s">
        <v>113</v>
      </c>
      <c r="S43" s="17" t="s">
        <v>104</v>
      </c>
      <c r="T43" s="17"/>
      <c r="U43" s="17"/>
      <c r="V43" s="17"/>
      <c r="W43" s="17"/>
      <c r="X43" s="17"/>
      <c r="Y43" s="17" t="s">
        <v>139</v>
      </c>
      <c r="Z43" s="23"/>
      <c r="AA43" s="17"/>
      <c r="AB43" s="17"/>
      <c r="AC43" s="17"/>
      <c r="AD43" s="17" t="s">
        <v>95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 t="s">
        <v>95</v>
      </c>
      <c r="BM43" s="17"/>
      <c r="BN43" s="17"/>
      <c r="BO43" s="17"/>
      <c r="BP43" s="17"/>
      <c r="BQ43" s="17"/>
      <c r="BR43" s="17" t="s">
        <v>95</v>
      </c>
      <c r="BS43" s="17" t="s">
        <v>95</v>
      </c>
      <c r="BT43" s="17"/>
      <c r="BU43" s="17" t="s">
        <v>346</v>
      </c>
      <c r="BV43" s="23"/>
      <c r="BW43" s="23"/>
      <c r="BX43" s="17"/>
      <c r="BY43" s="17" t="s">
        <v>96</v>
      </c>
      <c r="BZ43" s="17"/>
      <c r="CA43" s="17"/>
      <c r="CB43" s="17" t="s">
        <v>199</v>
      </c>
      <c r="CC43" s="17" t="s">
        <v>347</v>
      </c>
      <c r="CD43" s="17" t="s">
        <v>148</v>
      </c>
      <c r="CE43" s="17"/>
      <c r="CF43" s="17" t="s">
        <v>95</v>
      </c>
    </row>
    <row r="44" spans="1:84" ht="15" x14ac:dyDescent="0.2">
      <c r="A44" s="17" t="s">
        <v>83</v>
      </c>
      <c r="B44" s="18">
        <v>48219961</v>
      </c>
      <c r="C44" s="19">
        <v>45412.852083333331</v>
      </c>
      <c r="D44" s="17" t="s">
        <v>348</v>
      </c>
      <c r="E44" s="17" t="s">
        <v>101</v>
      </c>
      <c r="F44" s="20"/>
      <c r="G44" s="21">
        <v>99</v>
      </c>
      <c r="H44" s="21">
        <v>105.11</v>
      </c>
      <c r="I44" s="21">
        <v>6.11</v>
      </c>
      <c r="J44" s="17" t="s">
        <v>86</v>
      </c>
      <c r="K44" s="22">
        <v>34078</v>
      </c>
      <c r="L44" s="18">
        <v>31</v>
      </c>
      <c r="M44" s="17" t="s">
        <v>183</v>
      </c>
      <c r="N44" s="17" t="s">
        <v>184</v>
      </c>
      <c r="O44" s="17">
        <v>30338</v>
      </c>
      <c r="P44" s="17" t="s">
        <v>89</v>
      </c>
      <c r="Q44" s="17" t="s">
        <v>90</v>
      </c>
      <c r="R44" s="17" t="s">
        <v>91</v>
      </c>
      <c r="S44" s="17" t="s">
        <v>215</v>
      </c>
      <c r="T44" s="17"/>
      <c r="U44" s="17"/>
      <c r="V44" s="17"/>
      <c r="W44" s="17"/>
      <c r="X44" s="17"/>
      <c r="Y44" s="17" t="s">
        <v>124</v>
      </c>
      <c r="Z44" s="23"/>
      <c r="AA44" s="17"/>
      <c r="AB44" s="17"/>
      <c r="AC44" s="17"/>
      <c r="AD44" s="17" t="s">
        <v>95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 t="s">
        <v>95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 t="s">
        <v>95</v>
      </c>
      <c r="BS44" s="17" t="s">
        <v>95</v>
      </c>
      <c r="BT44" s="17"/>
      <c r="BU44" s="17" t="s">
        <v>349</v>
      </c>
      <c r="BV44" s="23"/>
      <c r="BW44" s="23"/>
      <c r="BX44" s="23"/>
      <c r="BY44" s="17" t="s">
        <v>96</v>
      </c>
      <c r="BZ44" s="17"/>
      <c r="CA44" s="17"/>
      <c r="CB44" s="17" t="s">
        <v>350</v>
      </c>
      <c r="CC44" s="17" t="s">
        <v>351</v>
      </c>
      <c r="CD44" s="17" t="s">
        <v>352</v>
      </c>
      <c r="CE44" s="17" t="s">
        <v>353</v>
      </c>
      <c r="CF44" s="17" t="s">
        <v>95</v>
      </c>
    </row>
    <row r="45" spans="1:84" ht="15" x14ac:dyDescent="0.2">
      <c r="A45" s="17" t="s">
        <v>83</v>
      </c>
      <c r="B45" s="18">
        <v>48172935</v>
      </c>
      <c r="C45" s="19">
        <v>45411.559027777781</v>
      </c>
      <c r="D45" s="17" t="s">
        <v>354</v>
      </c>
      <c r="E45" s="17" t="s">
        <v>101</v>
      </c>
      <c r="F45" s="20"/>
      <c r="G45" s="21">
        <v>99</v>
      </c>
      <c r="H45" s="21">
        <v>104.81</v>
      </c>
      <c r="I45" s="21">
        <v>5.81</v>
      </c>
      <c r="J45" s="17" t="s">
        <v>112</v>
      </c>
      <c r="K45" s="22">
        <v>35154</v>
      </c>
      <c r="L45" s="18">
        <v>28</v>
      </c>
      <c r="M45" s="17" t="s">
        <v>355</v>
      </c>
      <c r="N45" s="17" t="s">
        <v>87</v>
      </c>
      <c r="O45" s="17">
        <v>30328</v>
      </c>
      <c r="P45" s="17" t="s">
        <v>89</v>
      </c>
      <c r="Q45" s="17" t="s">
        <v>90</v>
      </c>
      <c r="R45" s="17" t="s">
        <v>132</v>
      </c>
      <c r="S45" s="17" t="s">
        <v>104</v>
      </c>
      <c r="T45" s="17"/>
      <c r="U45" s="17"/>
      <c r="V45" s="17"/>
      <c r="W45" s="17"/>
      <c r="X45" s="17"/>
      <c r="Y45" s="17" t="s">
        <v>356</v>
      </c>
      <c r="Z45" s="23"/>
      <c r="AA45" s="17"/>
      <c r="AB45" s="17"/>
      <c r="AC45" s="17"/>
      <c r="AD45" s="17" t="s">
        <v>95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 t="s">
        <v>95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 t="s">
        <v>95</v>
      </c>
      <c r="BU45" s="17"/>
      <c r="BV45" s="17"/>
      <c r="BW45" s="17"/>
      <c r="BX45" s="17"/>
      <c r="BY45" s="17" t="s">
        <v>96</v>
      </c>
      <c r="BZ45" s="17"/>
      <c r="CA45" s="17"/>
      <c r="CB45" s="17" t="s">
        <v>357</v>
      </c>
      <c r="CC45" s="17" t="s">
        <v>358</v>
      </c>
      <c r="CD45" s="17" t="s">
        <v>359</v>
      </c>
      <c r="CE45" s="23"/>
      <c r="CF45" s="17" t="s">
        <v>95</v>
      </c>
    </row>
    <row r="46" spans="1:84" ht="15" x14ac:dyDescent="0.2">
      <c r="A46" s="17" t="s">
        <v>83</v>
      </c>
      <c r="B46" s="18">
        <v>49132863</v>
      </c>
      <c r="C46" s="19">
        <v>45442.87777777778</v>
      </c>
      <c r="D46" s="17" t="s">
        <v>360</v>
      </c>
      <c r="E46" s="17" t="s">
        <v>101</v>
      </c>
      <c r="F46" s="20"/>
      <c r="G46" s="21">
        <v>99</v>
      </c>
      <c r="H46" s="21">
        <v>210.22</v>
      </c>
      <c r="I46" s="21">
        <v>12.22</v>
      </c>
      <c r="J46" s="17" t="s">
        <v>112</v>
      </c>
      <c r="K46" s="24">
        <v>35115</v>
      </c>
      <c r="L46" s="18">
        <v>28</v>
      </c>
      <c r="M46" s="17" t="s">
        <v>157</v>
      </c>
      <c r="N46" s="17" t="s">
        <v>87</v>
      </c>
      <c r="O46" s="17">
        <v>30318</v>
      </c>
      <c r="P46" s="17" t="s">
        <v>89</v>
      </c>
      <c r="Q46" s="17" t="s">
        <v>90</v>
      </c>
      <c r="R46" s="17" t="s">
        <v>91</v>
      </c>
      <c r="S46" s="17" t="s">
        <v>104</v>
      </c>
      <c r="T46" s="17"/>
      <c r="U46" s="17"/>
      <c r="V46" s="17"/>
      <c r="W46" s="17"/>
      <c r="X46" s="17"/>
      <c r="Y46" s="17" t="s">
        <v>124</v>
      </c>
      <c r="Z46" s="23"/>
      <c r="AA46" s="17"/>
      <c r="AB46" s="17"/>
      <c r="AC46" s="17"/>
      <c r="AD46" s="17" t="s">
        <v>95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 t="s">
        <v>95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 t="s">
        <v>95</v>
      </c>
      <c r="BT46" s="17"/>
      <c r="BU46" s="17" t="s">
        <v>361</v>
      </c>
      <c r="BV46" s="17"/>
      <c r="BW46" s="17"/>
      <c r="BX46" s="17"/>
      <c r="BY46" s="17" t="s">
        <v>96</v>
      </c>
      <c r="BZ46" s="17"/>
      <c r="CA46" s="17"/>
      <c r="CB46" s="17" t="s">
        <v>362</v>
      </c>
      <c r="CC46" s="17" t="s">
        <v>363</v>
      </c>
      <c r="CD46" s="17" t="s">
        <v>228</v>
      </c>
      <c r="CE46" s="17" t="s">
        <v>364</v>
      </c>
      <c r="CF46" s="17" t="s">
        <v>95</v>
      </c>
    </row>
    <row r="47" spans="1:84" ht="15" x14ac:dyDescent="0.2">
      <c r="A47" s="17" t="s">
        <v>83</v>
      </c>
      <c r="B47" s="18">
        <v>49132863</v>
      </c>
      <c r="C47" s="19">
        <v>45442.87777777778</v>
      </c>
      <c r="D47" s="17" t="s">
        <v>360</v>
      </c>
      <c r="E47" s="17" t="s">
        <v>101</v>
      </c>
      <c r="F47" s="20"/>
      <c r="G47" s="21">
        <v>99</v>
      </c>
      <c r="H47" s="21">
        <v>210.22</v>
      </c>
      <c r="I47" s="21">
        <v>12.22</v>
      </c>
      <c r="J47" s="17" t="s">
        <v>86</v>
      </c>
      <c r="K47" s="22">
        <v>33373</v>
      </c>
      <c r="L47" s="18">
        <v>32</v>
      </c>
      <c r="M47" s="17" t="s">
        <v>365</v>
      </c>
      <c r="N47" s="17" t="s">
        <v>249</v>
      </c>
      <c r="O47" s="17">
        <v>30309</v>
      </c>
      <c r="P47" s="17" t="s">
        <v>89</v>
      </c>
      <c r="Q47" s="17" t="s">
        <v>90</v>
      </c>
      <c r="R47" s="17" t="s">
        <v>91</v>
      </c>
      <c r="S47" s="17" t="s">
        <v>104</v>
      </c>
      <c r="T47" s="17"/>
      <c r="U47" s="17"/>
      <c r="V47" s="17"/>
      <c r="W47" s="17"/>
      <c r="X47" s="17"/>
      <c r="Y47" s="17" t="s">
        <v>139</v>
      </c>
      <c r="Z47" s="23"/>
      <c r="AA47" s="17"/>
      <c r="AB47" s="17"/>
      <c r="AC47" s="17"/>
      <c r="AD47" s="17" t="s">
        <v>95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 t="s">
        <v>95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 t="s">
        <v>95</v>
      </c>
      <c r="BS47" s="17"/>
      <c r="BT47" s="17"/>
      <c r="BU47" s="17" t="s">
        <v>366</v>
      </c>
      <c r="BV47" s="23"/>
      <c r="BW47" s="17"/>
      <c r="BX47" s="17"/>
      <c r="BY47" s="17" t="s">
        <v>96</v>
      </c>
      <c r="BZ47" s="17"/>
      <c r="CA47" s="17"/>
      <c r="CB47" s="17" t="s">
        <v>367</v>
      </c>
      <c r="CC47" s="17" t="s">
        <v>368</v>
      </c>
      <c r="CD47" s="17" t="s">
        <v>369</v>
      </c>
      <c r="CE47" s="17" t="s">
        <v>364</v>
      </c>
      <c r="CF47" s="17" t="s">
        <v>95</v>
      </c>
    </row>
    <row r="48" spans="1:84" ht="15" x14ac:dyDescent="0.2">
      <c r="A48" s="17" t="s">
        <v>83</v>
      </c>
      <c r="B48" s="18">
        <v>48607375</v>
      </c>
      <c r="C48" s="19">
        <v>45424.601388888892</v>
      </c>
      <c r="D48" s="17" t="s">
        <v>370</v>
      </c>
      <c r="E48" s="17" t="s">
        <v>101</v>
      </c>
      <c r="F48" s="17" t="s">
        <v>172</v>
      </c>
      <c r="G48" s="21">
        <v>99</v>
      </c>
      <c r="H48" s="21">
        <v>134.36000000000001</v>
      </c>
      <c r="I48" s="21">
        <v>8.36</v>
      </c>
      <c r="J48" s="17" t="s">
        <v>112</v>
      </c>
      <c r="K48" s="22">
        <v>34641</v>
      </c>
      <c r="L48" s="18">
        <v>29</v>
      </c>
      <c r="M48" s="17" t="s">
        <v>371</v>
      </c>
      <c r="N48" s="17" t="s">
        <v>184</v>
      </c>
      <c r="O48" s="17">
        <v>29204</v>
      </c>
      <c r="P48" s="17" t="s">
        <v>89</v>
      </c>
      <c r="Q48" s="17" t="s">
        <v>90</v>
      </c>
      <c r="R48" s="17" t="s">
        <v>91</v>
      </c>
      <c r="S48" s="17" t="s">
        <v>104</v>
      </c>
      <c r="T48" s="17"/>
      <c r="U48" s="17"/>
      <c r="V48" s="17"/>
      <c r="W48" s="17"/>
      <c r="X48" s="17"/>
      <c r="Y48" s="17" t="s">
        <v>116</v>
      </c>
      <c r="Z48" s="17"/>
      <c r="AA48" s="17"/>
      <c r="AB48" s="17"/>
      <c r="AC48" s="17"/>
      <c r="AD48" s="17" t="s">
        <v>95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 t="s">
        <v>95</v>
      </c>
      <c r="BF48" s="17" t="s">
        <v>95</v>
      </c>
      <c r="BG48" s="17"/>
      <c r="BH48" s="17"/>
      <c r="BI48" s="17" t="s">
        <v>95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 t="s">
        <v>95</v>
      </c>
      <c r="BT48" s="17"/>
      <c r="BU48" s="17" t="s">
        <v>372</v>
      </c>
      <c r="BV48" s="23"/>
      <c r="BW48" s="17"/>
      <c r="BX48" s="17"/>
      <c r="BY48" s="17" t="s">
        <v>96</v>
      </c>
      <c r="BZ48" s="17"/>
      <c r="CA48" s="17"/>
      <c r="CB48" s="17" t="s">
        <v>373</v>
      </c>
      <c r="CC48" s="17" t="s">
        <v>374</v>
      </c>
      <c r="CD48" s="17" t="s">
        <v>375</v>
      </c>
      <c r="CE48" s="17"/>
      <c r="CF48" s="17" t="s">
        <v>95</v>
      </c>
    </row>
    <row r="49" spans="1:84" ht="15" x14ac:dyDescent="0.2">
      <c r="A49" s="17" t="s">
        <v>83</v>
      </c>
      <c r="B49" s="18">
        <v>48341697</v>
      </c>
      <c r="C49" s="19">
        <v>45415.982638888891</v>
      </c>
      <c r="D49" s="17" t="s">
        <v>376</v>
      </c>
      <c r="E49" s="17" t="s">
        <v>101</v>
      </c>
      <c r="F49" s="20"/>
      <c r="G49" s="21">
        <v>99</v>
      </c>
      <c r="H49" s="21">
        <v>104.81</v>
      </c>
      <c r="I49" s="21">
        <v>5.81</v>
      </c>
      <c r="J49" s="17" t="s">
        <v>112</v>
      </c>
      <c r="K49" s="22">
        <v>34359</v>
      </c>
      <c r="L49" s="18">
        <v>30</v>
      </c>
      <c r="M49" s="17" t="s">
        <v>83</v>
      </c>
      <c r="N49" s="17" t="s">
        <v>87</v>
      </c>
      <c r="O49" s="17">
        <v>30329</v>
      </c>
      <c r="P49" s="17" t="s">
        <v>89</v>
      </c>
      <c r="Q49" s="17" t="s">
        <v>90</v>
      </c>
      <c r="R49" s="17" t="s">
        <v>113</v>
      </c>
      <c r="S49" s="17" t="s">
        <v>377</v>
      </c>
      <c r="T49" s="17"/>
      <c r="U49" s="17"/>
      <c r="V49" s="17"/>
      <c r="W49" s="17"/>
      <c r="X49" s="17"/>
      <c r="Y49" s="17" t="s">
        <v>105</v>
      </c>
      <c r="Z49" s="17"/>
      <c r="AA49" s="17"/>
      <c r="AB49" s="17" t="s">
        <v>95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 t="s">
        <v>95</v>
      </c>
      <c r="BN49" s="17"/>
      <c r="BO49" s="17"/>
      <c r="BP49" s="17"/>
      <c r="BQ49" s="17"/>
      <c r="BR49" s="17" t="s">
        <v>95</v>
      </c>
      <c r="BS49" s="17"/>
      <c r="BT49" s="17"/>
      <c r="BU49" s="17" t="s">
        <v>366</v>
      </c>
      <c r="BV49" s="23"/>
      <c r="BW49" s="17"/>
      <c r="BX49" s="17"/>
      <c r="BY49" s="17" t="s">
        <v>96</v>
      </c>
      <c r="BZ49" s="17"/>
      <c r="CA49" s="17"/>
      <c r="CB49" s="17"/>
      <c r="CC49" s="17"/>
      <c r="CD49" s="17"/>
      <c r="CE49" s="17"/>
      <c r="CF49" s="17" t="s">
        <v>95</v>
      </c>
    </row>
    <row r="50" spans="1:84" ht="15" x14ac:dyDescent="0.2">
      <c r="A50" s="17" t="s">
        <v>83</v>
      </c>
      <c r="B50" s="18">
        <v>49022759</v>
      </c>
      <c r="C50" s="19">
        <v>45438.493750000001</v>
      </c>
      <c r="D50" s="17" t="s">
        <v>378</v>
      </c>
      <c r="E50" s="17" t="s">
        <v>101</v>
      </c>
      <c r="F50" s="20"/>
      <c r="G50" s="21">
        <v>99</v>
      </c>
      <c r="H50" s="21">
        <v>209.62</v>
      </c>
      <c r="I50" s="21">
        <v>11.62</v>
      </c>
      <c r="J50" s="17" t="s">
        <v>86</v>
      </c>
      <c r="K50" s="22">
        <v>32420</v>
      </c>
      <c r="L50" s="18">
        <v>35</v>
      </c>
      <c r="M50" s="17" t="s">
        <v>379</v>
      </c>
      <c r="N50" s="17" t="s">
        <v>87</v>
      </c>
      <c r="O50" s="17">
        <v>30328</v>
      </c>
      <c r="P50" s="17" t="s">
        <v>89</v>
      </c>
      <c r="Q50" s="17" t="s">
        <v>90</v>
      </c>
      <c r="R50" s="17" t="s">
        <v>132</v>
      </c>
      <c r="S50" s="17" t="s">
        <v>104</v>
      </c>
      <c r="T50" s="17"/>
      <c r="U50" s="17"/>
      <c r="V50" s="17"/>
      <c r="W50" s="17"/>
      <c r="X50" s="17"/>
      <c r="Y50" s="17" t="s">
        <v>93</v>
      </c>
      <c r="Z50" s="17" t="s">
        <v>380</v>
      </c>
      <c r="AA50" s="23"/>
      <c r="AB50" s="23"/>
      <c r="AC50" s="23"/>
      <c r="AD50" s="17" t="s">
        <v>95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 t="s">
        <v>95</v>
      </c>
      <c r="BK50" s="17"/>
      <c r="BL50" s="17"/>
      <c r="BM50" s="17"/>
      <c r="BN50" s="17"/>
      <c r="BO50" s="17"/>
      <c r="BP50" s="17"/>
      <c r="BQ50" s="17"/>
      <c r="BR50" s="17" t="s">
        <v>95</v>
      </c>
      <c r="BS50" s="17" t="s">
        <v>95</v>
      </c>
      <c r="BT50" s="17"/>
      <c r="BU50" s="17" t="s">
        <v>381</v>
      </c>
      <c r="BV50" s="17" t="s">
        <v>382</v>
      </c>
      <c r="BW50" s="17"/>
      <c r="BX50" s="17"/>
      <c r="BY50" s="17" t="s">
        <v>96</v>
      </c>
      <c r="BZ50" s="17"/>
      <c r="CA50" s="17"/>
      <c r="CB50" s="17" t="s">
        <v>383</v>
      </c>
      <c r="CC50" s="17" t="s">
        <v>384</v>
      </c>
      <c r="CD50" s="17" t="s">
        <v>385</v>
      </c>
      <c r="CE50" s="17" t="s">
        <v>386</v>
      </c>
      <c r="CF50" s="17" t="s">
        <v>95</v>
      </c>
    </row>
    <row r="51" spans="1:84" ht="15" x14ac:dyDescent="0.2">
      <c r="A51" s="17" t="s">
        <v>83</v>
      </c>
      <c r="B51" s="18">
        <v>46954621</v>
      </c>
      <c r="C51" s="19">
        <v>45378.420138888891</v>
      </c>
      <c r="D51" s="17" t="s">
        <v>387</v>
      </c>
      <c r="E51" s="17" t="s">
        <v>101</v>
      </c>
      <c r="F51" s="20" t="s">
        <v>198</v>
      </c>
      <c r="G51" s="21">
        <v>99</v>
      </c>
      <c r="H51" s="21">
        <v>0</v>
      </c>
      <c r="I51" s="21">
        <v>0</v>
      </c>
      <c r="J51" s="17" t="s">
        <v>112</v>
      </c>
      <c r="K51" s="22">
        <v>32583</v>
      </c>
      <c r="L51" s="18">
        <v>35</v>
      </c>
      <c r="M51" s="17" t="s">
        <v>83</v>
      </c>
      <c r="N51" s="17" t="s">
        <v>87</v>
      </c>
      <c r="O51" s="17">
        <v>30022</v>
      </c>
      <c r="P51" s="17" t="s">
        <v>89</v>
      </c>
      <c r="Q51" s="17" t="s">
        <v>90</v>
      </c>
      <c r="R51" s="17" t="s">
        <v>132</v>
      </c>
      <c r="S51" s="17" t="s">
        <v>104</v>
      </c>
      <c r="T51" s="17"/>
      <c r="U51" s="17"/>
      <c r="V51" s="17"/>
      <c r="W51" s="17"/>
      <c r="X51" s="17"/>
      <c r="Y51" s="17" t="s">
        <v>124</v>
      </c>
      <c r="Z51" s="23"/>
      <c r="AA51" s="17" t="s">
        <v>95</v>
      </c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 t="s">
        <v>95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 t="s">
        <v>95</v>
      </c>
      <c r="BT51" s="17"/>
      <c r="BU51" s="17" t="s">
        <v>388</v>
      </c>
      <c r="BV51" s="17"/>
      <c r="BW51" s="17"/>
      <c r="BX51" s="17"/>
      <c r="BY51" s="17" t="s">
        <v>96</v>
      </c>
      <c r="BZ51" s="17"/>
      <c r="CA51" s="17"/>
      <c r="CB51" s="17" t="s">
        <v>389</v>
      </c>
      <c r="CC51" s="17" t="s">
        <v>390</v>
      </c>
      <c r="CD51" s="17" t="s">
        <v>391</v>
      </c>
      <c r="CE51" s="17"/>
      <c r="CF51" s="17" t="s">
        <v>95</v>
      </c>
    </row>
    <row r="52" spans="1:84" ht="15" x14ac:dyDescent="0.2">
      <c r="A52" s="17" t="s">
        <v>83</v>
      </c>
      <c r="B52" s="18">
        <v>46951163</v>
      </c>
      <c r="C52" s="19">
        <v>45378.07916666667</v>
      </c>
      <c r="D52" s="17" t="s">
        <v>392</v>
      </c>
      <c r="E52" s="17" t="s">
        <v>101</v>
      </c>
      <c r="F52" s="20"/>
      <c r="G52" s="21">
        <v>99</v>
      </c>
      <c r="H52" s="21">
        <v>104.51</v>
      </c>
      <c r="I52" s="21">
        <v>5.52</v>
      </c>
      <c r="J52" s="17" t="s">
        <v>86</v>
      </c>
      <c r="K52" s="24">
        <v>34667</v>
      </c>
      <c r="L52" s="18">
        <v>29</v>
      </c>
      <c r="M52" s="17" t="s">
        <v>393</v>
      </c>
      <c r="N52" s="17" t="s">
        <v>394</v>
      </c>
      <c r="O52" s="17">
        <v>29451</v>
      </c>
      <c r="P52" s="17" t="s">
        <v>89</v>
      </c>
      <c r="Q52" s="17" t="s">
        <v>90</v>
      </c>
      <c r="R52" s="17" t="s">
        <v>132</v>
      </c>
      <c r="S52" s="17" t="s">
        <v>104</v>
      </c>
      <c r="T52" s="17"/>
      <c r="U52" s="17"/>
      <c r="V52" s="17"/>
      <c r="W52" s="17"/>
      <c r="X52" s="17"/>
      <c r="Y52" s="17" t="s">
        <v>139</v>
      </c>
      <c r="Z52" s="23"/>
      <c r="AA52" s="17" t="s">
        <v>95</v>
      </c>
      <c r="AB52" s="17" t="s">
        <v>95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95</v>
      </c>
      <c r="AV52" s="17"/>
      <c r="AW52" s="17"/>
      <c r="AX52" s="17" t="s">
        <v>95</v>
      </c>
      <c r="AY52" s="17" t="s">
        <v>95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 t="s">
        <v>95</v>
      </c>
      <c r="BU52" s="17"/>
      <c r="BV52" s="17"/>
      <c r="BW52" s="17"/>
      <c r="BX52" s="17"/>
      <c r="BY52" s="17" t="s">
        <v>96</v>
      </c>
      <c r="BZ52" s="17"/>
      <c r="CA52" s="17"/>
      <c r="CB52" s="17" t="s">
        <v>395</v>
      </c>
      <c r="CC52" s="17" t="s">
        <v>396</v>
      </c>
      <c r="CD52" s="17" t="s">
        <v>397</v>
      </c>
      <c r="CE52" s="17"/>
      <c r="CF52" s="17" t="s">
        <v>95</v>
      </c>
    </row>
    <row r="53" spans="1:84" ht="15" x14ac:dyDescent="0.2">
      <c r="A53" s="17" t="s">
        <v>83</v>
      </c>
      <c r="B53" s="18">
        <v>48429427</v>
      </c>
      <c r="C53" s="19">
        <v>45418.734722222223</v>
      </c>
      <c r="D53" s="17" t="s">
        <v>398</v>
      </c>
      <c r="E53" s="17" t="s">
        <v>85</v>
      </c>
      <c r="F53" s="17" t="s">
        <v>156</v>
      </c>
      <c r="G53" s="21">
        <v>99</v>
      </c>
      <c r="H53" s="21">
        <v>105.11</v>
      </c>
      <c r="I53" s="21">
        <v>6.11</v>
      </c>
      <c r="J53" s="17" t="s">
        <v>112</v>
      </c>
      <c r="K53" s="22">
        <v>34791</v>
      </c>
      <c r="L53" s="18">
        <v>29</v>
      </c>
      <c r="M53" s="17" t="s">
        <v>83</v>
      </c>
      <c r="N53" s="17" t="s">
        <v>87</v>
      </c>
      <c r="O53" s="17">
        <v>30341</v>
      </c>
      <c r="P53" s="17" t="s">
        <v>89</v>
      </c>
      <c r="Q53" s="17" t="s">
        <v>90</v>
      </c>
      <c r="R53" s="17" t="s">
        <v>91</v>
      </c>
      <c r="S53" s="17" t="s">
        <v>104</v>
      </c>
      <c r="T53" s="17"/>
      <c r="U53" s="17"/>
      <c r="V53" s="17"/>
      <c r="W53" s="17"/>
      <c r="X53" s="17"/>
      <c r="Y53" s="17" t="s">
        <v>116</v>
      </c>
      <c r="Z53" s="17"/>
      <c r="AA53" s="17"/>
      <c r="AB53" s="17" t="s">
        <v>95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 t="s">
        <v>95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 t="s">
        <v>95</v>
      </c>
      <c r="BS53" s="17" t="s">
        <v>95</v>
      </c>
      <c r="BT53" s="17"/>
      <c r="BU53" s="17" t="s">
        <v>399</v>
      </c>
      <c r="BV53" s="23"/>
      <c r="BW53" s="23"/>
      <c r="BX53" s="23"/>
      <c r="BY53" s="17" t="s">
        <v>96</v>
      </c>
      <c r="BZ53" s="17"/>
      <c r="CA53" s="17"/>
      <c r="CB53" s="17" t="s">
        <v>400</v>
      </c>
      <c r="CC53" s="17" t="s">
        <v>401</v>
      </c>
      <c r="CD53" s="17" t="s">
        <v>402</v>
      </c>
      <c r="CE53" s="17" t="s">
        <v>403</v>
      </c>
      <c r="CF53" s="17" t="s">
        <v>95</v>
      </c>
    </row>
    <row r="54" spans="1:84" ht="15" x14ac:dyDescent="0.2">
      <c r="A54" s="17" t="s">
        <v>83</v>
      </c>
      <c r="B54" s="18">
        <v>49159964</v>
      </c>
      <c r="C54" s="19">
        <v>45443.720833333333</v>
      </c>
      <c r="D54" s="17" t="s">
        <v>404</v>
      </c>
      <c r="E54" s="17" t="s">
        <v>101</v>
      </c>
      <c r="F54" s="20"/>
      <c r="G54" s="21">
        <v>99</v>
      </c>
      <c r="H54" s="21">
        <v>105.11</v>
      </c>
      <c r="I54" s="21">
        <v>6.11</v>
      </c>
      <c r="J54" s="17" t="s">
        <v>112</v>
      </c>
      <c r="K54" s="22">
        <v>32881</v>
      </c>
      <c r="L54" s="18">
        <v>34</v>
      </c>
      <c r="M54" s="17" t="s">
        <v>83</v>
      </c>
      <c r="N54" s="17" t="s">
        <v>87</v>
      </c>
      <c r="O54" s="17">
        <v>30319</v>
      </c>
      <c r="P54" s="17" t="s">
        <v>89</v>
      </c>
      <c r="Q54" s="17" t="s">
        <v>90</v>
      </c>
      <c r="R54" s="17" t="s">
        <v>113</v>
      </c>
      <c r="S54" s="17" t="s">
        <v>104</v>
      </c>
      <c r="T54" s="17"/>
      <c r="U54" s="17"/>
      <c r="V54" s="17"/>
      <c r="W54" s="17"/>
      <c r="X54" s="17"/>
      <c r="Y54" s="17" t="s">
        <v>116</v>
      </c>
      <c r="Z54" s="17"/>
      <c r="AA54" s="17" t="s">
        <v>95</v>
      </c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 t="s">
        <v>95</v>
      </c>
      <c r="BA54" s="17" t="s">
        <v>95</v>
      </c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 t="s">
        <v>95</v>
      </c>
      <c r="BU54" s="17"/>
      <c r="BV54" s="17"/>
      <c r="BW54" s="17"/>
      <c r="BX54" s="17"/>
      <c r="BY54" s="17" t="s">
        <v>96</v>
      </c>
      <c r="BZ54" s="17"/>
      <c r="CA54" s="17"/>
      <c r="CB54" s="17" t="s">
        <v>405</v>
      </c>
      <c r="CC54" s="17" t="s">
        <v>406</v>
      </c>
      <c r="CD54" s="17" t="s">
        <v>402</v>
      </c>
      <c r="CE54" s="17"/>
      <c r="CF54" s="17" t="s">
        <v>95</v>
      </c>
    </row>
    <row r="55" spans="1:84" ht="15" x14ac:dyDescent="0.2">
      <c r="A55" s="17" t="s">
        <v>83</v>
      </c>
      <c r="B55" s="18">
        <v>49842551</v>
      </c>
      <c r="C55" s="19">
        <v>45468.571527777778</v>
      </c>
      <c r="D55" s="17" t="s">
        <v>407</v>
      </c>
      <c r="E55" s="20" t="s">
        <v>85</v>
      </c>
      <c r="F55" s="20"/>
      <c r="G55" s="21">
        <v>149</v>
      </c>
      <c r="H55" s="21">
        <v>157.53</v>
      </c>
      <c r="I55" s="21">
        <v>8.5299999999999994</v>
      </c>
      <c r="J55" s="17" t="s">
        <v>86</v>
      </c>
      <c r="K55" s="22">
        <v>34388</v>
      </c>
      <c r="L55" s="18">
        <v>30</v>
      </c>
      <c r="M55" s="17" t="s">
        <v>83</v>
      </c>
      <c r="N55" s="17" t="s">
        <v>87</v>
      </c>
      <c r="O55" s="17">
        <v>8560</v>
      </c>
      <c r="P55" s="17" t="s">
        <v>89</v>
      </c>
      <c r="Q55" s="17" t="s">
        <v>90</v>
      </c>
      <c r="R55" s="17" t="s">
        <v>113</v>
      </c>
      <c r="S55" s="17" t="s">
        <v>104</v>
      </c>
      <c r="T55" s="17"/>
      <c r="U55" s="17"/>
      <c r="V55" s="17"/>
      <c r="W55" s="17"/>
      <c r="X55" s="17"/>
      <c r="Y55" s="17" t="s">
        <v>105</v>
      </c>
      <c r="Z55" s="17"/>
      <c r="AA55" s="17"/>
      <c r="AB55" s="17"/>
      <c r="AC55" s="17"/>
      <c r="AD55" s="17" t="s">
        <v>95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 t="s">
        <v>95</v>
      </c>
      <c r="BF55" s="17"/>
      <c r="BG55" s="17" t="s">
        <v>408</v>
      </c>
      <c r="BH55" s="17" t="s">
        <v>409</v>
      </c>
      <c r="BI55" s="23"/>
      <c r="BJ55" s="17"/>
      <c r="BK55" s="17" t="s">
        <v>96</v>
      </c>
      <c r="BL55" s="17"/>
      <c r="BM55" s="17"/>
      <c r="BN55" s="17" t="s">
        <v>410</v>
      </c>
      <c r="BO55" s="17" t="s">
        <v>411</v>
      </c>
      <c r="BP55" s="17" t="s">
        <v>154</v>
      </c>
      <c r="BQ55" s="17" t="s">
        <v>412</v>
      </c>
      <c r="BR55" s="17" t="s">
        <v>95</v>
      </c>
      <c r="BS55" s="17"/>
      <c r="BT55" s="17" t="s">
        <v>408</v>
      </c>
      <c r="BU55" s="17" t="s">
        <v>409</v>
      </c>
      <c r="BV55" s="23"/>
      <c r="BW55" s="17"/>
      <c r="BX55" s="17" t="s">
        <v>96</v>
      </c>
      <c r="BY55" s="17"/>
      <c r="BZ55" s="17"/>
      <c r="CA55" s="17" t="s">
        <v>410</v>
      </c>
      <c r="CB55" s="17" t="s">
        <v>411</v>
      </c>
      <c r="CC55" s="17" t="s">
        <v>154</v>
      </c>
      <c r="CD55" s="17" t="s">
        <v>412</v>
      </c>
      <c r="CE55" s="17" t="s">
        <v>95</v>
      </c>
      <c r="CF55" s="17"/>
    </row>
    <row r="56" spans="1:84" ht="15" x14ac:dyDescent="0.2">
      <c r="A56" s="17" t="s">
        <v>83</v>
      </c>
      <c r="B56" s="18">
        <v>49907271</v>
      </c>
      <c r="C56" s="19">
        <v>45470.866666666669</v>
      </c>
      <c r="D56" s="17" t="s">
        <v>413</v>
      </c>
      <c r="E56" s="17" t="s">
        <v>85</v>
      </c>
      <c r="F56" s="20"/>
      <c r="G56" s="21">
        <v>149</v>
      </c>
      <c r="H56" s="21">
        <v>157.08000000000001</v>
      </c>
      <c r="I56" s="21">
        <v>8.08</v>
      </c>
      <c r="J56" s="17" t="s">
        <v>112</v>
      </c>
      <c r="K56" s="22">
        <v>34949</v>
      </c>
      <c r="L56" s="18">
        <v>28</v>
      </c>
      <c r="M56" s="17" t="s">
        <v>329</v>
      </c>
      <c r="N56" s="17" t="s">
        <v>87</v>
      </c>
      <c r="O56" s="17">
        <v>30338</v>
      </c>
      <c r="P56" s="17" t="s">
        <v>89</v>
      </c>
      <c r="Q56" s="17" t="s">
        <v>90</v>
      </c>
      <c r="R56" s="17" t="s">
        <v>113</v>
      </c>
      <c r="S56" s="17" t="s">
        <v>114</v>
      </c>
      <c r="T56" s="17" t="s">
        <v>414</v>
      </c>
      <c r="U56" s="17"/>
      <c r="V56" s="17"/>
      <c r="W56" s="17"/>
      <c r="X56" s="17"/>
      <c r="Y56" s="17" t="s">
        <v>139</v>
      </c>
      <c r="Z56" s="23"/>
      <c r="AA56" s="17"/>
      <c r="AB56" s="17"/>
      <c r="AC56" s="17"/>
      <c r="AD56" s="17" t="s">
        <v>95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 t="s">
        <v>95</v>
      </c>
      <c r="BF56" s="17"/>
      <c r="BG56" s="17" t="s">
        <v>415</v>
      </c>
      <c r="BH56" s="23"/>
      <c r="BI56" s="23"/>
      <c r="BJ56" s="23"/>
      <c r="BK56" s="17" t="s">
        <v>96</v>
      </c>
      <c r="BL56" s="17"/>
      <c r="BM56" s="17"/>
      <c r="BN56" s="17"/>
      <c r="BO56" s="17"/>
      <c r="BP56" s="17"/>
      <c r="BQ56" s="17"/>
      <c r="BR56" s="17" t="s">
        <v>95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</row>
    <row r="57" spans="1:84" ht="15" x14ac:dyDescent="0.2">
      <c r="A57" s="17" t="s">
        <v>83</v>
      </c>
      <c r="B57" s="18">
        <v>49917812</v>
      </c>
      <c r="C57" s="19">
        <v>45471.435416666667</v>
      </c>
      <c r="D57" s="17" t="s">
        <v>416</v>
      </c>
      <c r="E57" s="17" t="s">
        <v>85</v>
      </c>
      <c r="F57" s="20"/>
      <c r="G57" s="21">
        <v>149</v>
      </c>
      <c r="H57" s="21">
        <v>157.08000000000001</v>
      </c>
      <c r="I57" s="21">
        <v>8.08</v>
      </c>
      <c r="J57" s="17" t="s">
        <v>86</v>
      </c>
      <c r="K57" s="22">
        <v>33174</v>
      </c>
      <c r="L57" s="18">
        <v>33</v>
      </c>
      <c r="M57" s="17" t="s">
        <v>417</v>
      </c>
      <c r="N57" s="17" t="s">
        <v>249</v>
      </c>
      <c r="O57" s="17">
        <v>30308</v>
      </c>
      <c r="P57" s="17" t="s">
        <v>89</v>
      </c>
      <c r="Q57" s="17" t="s">
        <v>90</v>
      </c>
      <c r="R57" s="17" t="s">
        <v>145</v>
      </c>
      <c r="S57" s="17" t="s">
        <v>104</v>
      </c>
      <c r="T57" s="17"/>
      <c r="U57" s="17"/>
      <c r="V57" s="17"/>
      <c r="W57" s="17"/>
      <c r="X57" s="17"/>
      <c r="Y57" s="17" t="s">
        <v>116</v>
      </c>
      <c r="Z57" s="17"/>
      <c r="AA57" s="17"/>
      <c r="AB57" s="17"/>
      <c r="AC57" s="17"/>
      <c r="AD57" s="17" t="s">
        <v>95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 t="s">
        <v>95</v>
      </c>
      <c r="BG57" s="17"/>
      <c r="BH57" s="17" t="s">
        <v>418</v>
      </c>
      <c r="BI57" s="23"/>
      <c r="BJ57" s="17"/>
      <c r="BK57" s="17" t="s">
        <v>96</v>
      </c>
      <c r="BL57" s="17"/>
      <c r="BM57" s="17"/>
      <c r="BN57" s="17"/>
      <c r="BO57" s="17"/>
      <c r="BP57" s="17"/>
      <c r="BQ57" s="17"/>
      <c r="BR57" s="17" t="s">
        <v>95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</row>
    <row r="58" spans="1:84" ht="15" x14ac:dyDescent="0.2">
      <c r="A58" s="17" t="s">
        <v>83</v>
      </c>
      <c r="B58" s="18">
        <v>49935652</v>
      </c>
      <c r="C58" s="19">
        <v>45471.737500000003</v>
      </c>
      <c r="D58" s="17" t="s">
        <v>419</v>
      </c>
      <c r="E58" s="17" t="s">
        <v>85</v>
      </c>
      <c r="F58" s="20"/>
      <c r="G58" s="21">
        <v>149</v>
      </c>
      <c r="H58" s="21">
        <v>157.08000000000001</v>
      </c>
      <c r="I58" s="21">
        <v>8.08</v>
      </c>
      <c r="J58" s="17" t="s">
        <v>86</v>
      </c>
      <c r="K58" s="22">
        <v>32805</v>
      </c>
      <c r="L58" s="18">
        <v>34</v>
      </c>
      <c r="M58" s="17" t="s">
        <v>131</v>
      </c>
      <c r="N58" s="17" t="s">
        <v>87</v>
      </c>
      <c r="O58" s="17">
        <v>30342</v>
      </c>
      <c r="P58" s="17" t="s">
        <v>89</v>
      </c>
      <c r="Q58" s="17" t="s">
        <v>90</v>
      </c>
      <c r="R58" s="17" t="s">
        <v>91</v>
      </c>
      <c r="S58" s="17" t="s">
        <v>104</v>
      </c>
      <c r="T58" s="17"/>
      <c r="U58" s="17"/>
      <c r="V58" s="17" t="s">
        <v>420</v>
      </c>
      <c r="W58" s="17"/>
      <c r="X58" s="17"/>
      <c r="Y58" s="17" t="s">
        <v>139</v>
      </c>
      <c r="Z58" s="23"/>
      <c r="AA58" s="17"/>
      <c r="AB58" s="17"/>
      <c r="AC58" s="17"/>
      <c r="AD58" s="17" t="s">
        <v>95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 t="s">
        <v>95</v>
      </c>
      <c r="BG58" s="17"/>
      <c r="BH58" s="17"/>
      <c r="BI58" s="17"/>
      <c r="BJ58" s="17"/>
      <c r="BK58" s="17" t="s">
        <v>96</v>
      </c>
      <c r="BL58" s="17"/>
      <c r="BM58" s="17"/>
      <c r="BN58" s="17" t="s">
        <v>421</v>
      </c>
      <c r="BO58" s="17" t="s">
        <v>422</v>
      </c>
      <c r="BP58" s="17" t="s">
        <v>423</v>
      </c>
      <c r="BQ58" s="17" t="s">
        <v>424</v>
      </c>
      <c r="BR58" s="17" t="s">
        <v>95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</row>
    <row r="59" spans="1:84" ht="15" x14ac:dyDescent="0.2">
      <c r="A59" s="17" t="s">
        <v>83</v>
      </c>
      <c r="B59" s="18">
        <v>50025899</v>
      </c>
      <c r="C59" s="19">
        <v>45473.9</v>
      </c>
      <c r="D59" s="17" t="s">
        <v>425</v>
      </c>
      <c r="E59" s="17" t="s">
        <v>85</v>
      </c>
      <c r="F59" s="20"/>
      <c r="G59" s="21">
        <v>149</v>
      </c>
      <c r="H59" s="21">
        <v>157.08000000000001</v>
      </c>
      <c r="I59" s="21">
        <v>8.08</v>
      </c>
      <c r="J59" s="17" t="s">
        <v>112</v>
      </c>
      <c r="K59" s="22">
        <v>35454</v>
      </c>
      <c r="L59" s="18">
        <v>27</v>
      </c>
      <c r="M59" s="17" t="s">
        <v>83</v>
      </c>
      <c r="N59" s="17" t="s">
        <v>87</v>
      </c>
      <c r="O59" s="17">
        <v>30033</v>
      </c>
      <c r="P59" s="17" t="s">
        <v>89</v>
      </c>
      <c r="Q59" s="17" t="s">
        <v>90</v>
      </c>
      <c r="R59" s="17" t="s">
        <v>132</v>
      </c>
      <c r="S59" s="17" t="s">
        <v>259</v>
      </c>
      <c r="T59" s="17"/>
      <c r="U59" s="17"/>
      <c r="V59" s="17"/>
      <c r="W59" s="17"/>
      <c r="X59" s="17"/>
      <c r="Y59" s="17" t="s">
        <v>105</v>
      </c>
      <c r="Z59" s="17"/>
      <c r="AA59" s="17"/>
      <c r="AB59" s="17"/>
      <c r="AC59" s="17"/>
      <c r="AD59" s="17" t="s">
        <v>95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 t="s">
        <v>95</v>
      </c>
      <c r="BF59" s="17"/>
      <c r="BG59" s="17" t="s">
        <v>426</v>
      </c>
      <c r="BH59" s="23"/>
      <c r="BI59" s="17" t="s">
        <v>427</v>
      </c>
      <c r="BJ59" s="17"/>
      <c r="BK59" s="17" t="s">
        <v>96</v>
      </c>
      <c r="BL59" s="17"/>
      <c r="BM59" s="17"/>
      <c r="BN59" s="17" t="s">
        <v>428</v>
      </c>
      <c r="BO59" s="17" t="s">
        <v>429</v>
      </c>
      <c r="BP59" s="17" t="s">
        <v>402</v>
      </c>
      <c r="BQ59" s="17"/>
      <c r="BR59" s="17" t="s">
        <v>95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</row>
    <row r="60" spans="1:84" ht="15" x14ac:dyDescent="0.2">
      <c r="A60" s="17" t="s">
        <v>83</v>
      </c>
      <c r="B60" s="18">
        <v>50115721</v>
      </c>
      <c r="C60" s="19">
        <v>45477.375</v>
      </c>
      <c r="D60" s="17" t="s">
        <v>430</v>
      </c>
      <c r="E60" s="17" t="s">
        <v>85</v>
      </c>
      <c r="F60" s="20"/>
      <c r="G60" s="21">
        <v>149</v>
      </c>
      <c r="H60" s="21">
        <v>314.16000000000003</v>
      </c>
      <c r="I60" s="21">
        <v>16.16</v>
      </c>
      <c r="J60" s="17" t="s">
        <v>112</v>
      </c>
      <c r="K60" s="22">
        <v>30395</v>
      </c>
      <c r="L60" s="18">
        <v>41</v>
      </c>
      <c r="M60" s="17" t="s">
        <v>83</v>
      </c>
      <c r="N60" s="17" t="s">
        <v>87</v>
      </c>
      <c r="O60" s="17" t="s">
        <v>88</v>
      </c>
      <c r="P60" s="17" t="s">
        <v>89</v>
      </c>
      <c r="Q60" s="17" t="s">
        <v>90</v>
      </c>
      <c r="R60" s="17" t="s">
        <v>91</v>
      </c>
      <c r="S60" s="17" t="s">
        <v>104</v>
      </c>
      <c r="T60" s="17"/>
      <c r="U60" s="17"/>
      <c r="V60" s="17"/>
      <c r="W60" s="17"/>
      <c r="X60" s="17"/>
      <c r="Y60" s="17" t="s">
        <v>105</v>
      </c>
      <c r="Z60" s="17"/>
      <c r="AA60" s="17"/>
      <c r="AB60" s="17"/>
      <c r="AC60" s="17"/>
      <c r="AD60" s="17" t="s">
        <v>95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95</v>
      </c>
      <c r="BE60" s="17"/>
      <c r="BF60" s="17"/>
      <c r="BG60" s="17" t="s">
        <v>431</v>
      </c>
      <c r="BH60" s="23"/>
      <c r="BI60" s="23"/>
      <c r="BJ60" s="23"/>
      <c r="BK60" s="17" t="s">
        <v>96</v>
      </c>
      <c r="BL60" s="17"/>
      <c r="BM60" s="17"/>
      <c r="BN60" s="17" t="s">
        <v>432</v>
      </c>
      <c r="BO60" s="17" t="s">
        <v>433</v>
      </c>
      <c r="BP60" s="17" t="s">
        <v>434</v>
      </c>
      <c r="BQ60" s="23"/>
      <c r="BR60" s="17" t="s">
        <v>95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</row>
    <row r="61" spans="1:84" ht="15" x14ac:dyDescent="0.2">
      <c r="A61" s="17" t="s">
        <v>83</v>
      </c>
      <c r="B61" s="18">
        <v>50115721</v>
      </c>
      <c r="C61" s="19">
        <v>45477.375</v>
      </c>
      <c r="D61" s="17" t="s">
        <v>435</v>
      </c>
      <c r="E61" s="17" t="s">
        <v>85</v>
      </c>
      <c r="F61" s="20"/>
      <c r="G61" s="21">
        <v>149</v>
      </c>
      <c r="H61" s="21">
        <v>314.16000000000003</v>
      </c>
      <c r="I61" s="21">
        <v>16.16</v>
      </c>
      <c r="J61" s="17" t="s">
        <v>86</v>
      </c>
      <c r="K61" s="22">
        <v>30871</v>
      </c>
      <c r="L61" s="18">
        <v>40</v>
      </c>
      <c r="M61" s="17" t="s">
        <v>83</v>
      </c>
      <c r="N61" s="17" t="s">
        <v>87</v>
      </c>
      <c r="O61" s="17">
        <v>30022</v>
      </c>
      <c r="P61" s="17" t="s">
        <v>89</v>
      </c>
      <c r="Q61" s="17" t="s">
        <v>90</v>
      </c>
      <c r="R61" s="17" t="s">
        <v>113</v>
      </c>
      <c r="S61" s="17" t="s">
        <v>104</v>
      </c>
      <c r="T61" s="17"/>
      <c r="U61" s="17"/>
      <c r="V61" s="17"/>
      <c r="W61" s="17"/>
      <c r="X61" s="17"/>
      <c r="Y61" s="17" t="s">
        <v>93</v>
      </c>
      <c r="Z61" s="17" t="s">
        <v>436</v>
      </c>
      <c r="AA61" s="23"/>
      <c r="AB61" s="23"/>
      <c r="AC61" s="23"/>
      <c r="AD61" s="17" t="s">
        <v>95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 t="s">
        <v>95</v>
      </c>
      <c r="BG61" s="17"/>
      <c r="BH61" s="17" t="s">
        <v>437</v>
      </c>
      <c r="BI61" s="23"/>
      <c r="BJ61" s="17"/>
      <c r="BK61" s="17" t="s">
        <v>96</v>
      </c>
      <c r="BL61" s="17"/>
      <c r="BM61" s="17"/>
      <c r="BN61" s="17" t="s">
        <v>432</v>
      </c>
      <c r="BO61" s="17" t="s">
        <v>438</v>
      </c>
      <c r="BP61" s="17" t="s">
        <v>402</v>
      </c>
      <c r="BQ61" s="17"/>
      <c r="BR61" s="17" t="s">
        <v>95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</row>
    <row r="62" spans="1:84" ht="15" x14ac:dyDescent="0.2">
      <c r="A62" s="17" t="s">
        <v>83</v>
      </c>
      <c r="B62" s="18">
        <v>50129470</v>
      </c>
      <c r="C62" s="25" t="s">
        <v>439</v>
      </c>
      <c r="D62" s="17" t="s">
        <v>440</v>
      </c>
      <c r="E62" s="17" t="s">
        <v>85</v>
      </c>
      <c r="F62" s="20"/>
      <c r="G62" s="21">
        <v>149</v>
      </c>
      <c r="H62" s="21">
        <v>157.08000000000001</v>
      </c>
      <c r="I62" s="21">
        <v>8.08</v>
      </c>
      <c r="J62" s="17" t="s">
        <v>112</v>
      </c>
      <c r="K62" s="22">
        <v>37375</v>
      </c>
      <c r="L62" s="18">
        <v>22</v>
      </c>
      <c r="M62" s="17" t="s">
        <v>441</v>
      </c>
      <c r="N62" s="17" t="s">
        <v>304</v>
      </c>
      <c r="O62" s="17">
        <v>30084</v>
      </c>
      <c r="P62" s="17" t="s">
        <v>89</v>
      </c>
      <c r="Q62" s="17" t="s">
        <v>90</v>
      </c>
      <c r="R62" s="17" t="s">
        <v>103</v>
      </c>
      <c r="S62" s="17" t="s">
        <v>104</v>
      </c>
      <c r="T62" s="17"/>
      <c r="U62" s="17"/>
      <c r="V62" s="17"/>
      <c r="W62" s="17"/>
      <c r="X62" s="17"/>
      <c r="Y62" s="17" t="s">
        <v>124</v>
      </c>
      <c r="Z62" s="23"/>
      <c r="AA62" s="17" t="s">
        <v>95</v>
      </c>
      <c r="AB62" s="17" t="s">
        <v>95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 t="s">
        <v>95</v>
      </c>
      <c r="BA62" s="17" t="s">
        <v>95</v>
      </c>
      <c r="BB62" s="17"/>
      <c r="BC62" s="17"/>
      <c r="BD62" s="17"/>
      <c r="BE62" s="17" t="s">
        <v>95</v>
      </c>
      <c r="BF62" s="17"/>
      <c r="BG62" s="17" t="s">
        <v>442</v>
      </c>
      <c r="BH62" s="23"/>
      <c r="BI62" s="23"/>
      <c r="BJ62" s="17"/>
      <c r="BK62" s="17" t="s">
        <v>96</v>
      </c>
      <c r="BL62" s="17"/>
      <c r="BM62" s="17"/>
      <c r="BN62" s="17" t="s">
        <v>443</v>
      </c>
      <c r="BO62" s="17" t="s">
        <v>444</v>
      </c>
      <c r="BP62" s="17" t="s">
        <v>269</v>
      </c>
      <c r="BQ62" s="23"/>
      <c r="BR62" s="17" t="s">
        <v>95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</row>
    <row r="63" spans="1:84" ht="15" x14ac:dyDescent="0.2">
      <c r="A63" s="17" t="s">
        <v>83</v>
      </c>
      <c r="B63" s="18">
        <v>50134321</v>
      </c>
      <c r="C63" s="25" t="s">
        <v>445</v>
      </c>
      <c r="D63" s="17" t="s">
        <v>446</v>
      </c>
      <c r="E63" s="17" t="s">
        <v>85</v>
      </c>
      <c r="F63" s="20"/>
      <c r="G63" s="21">
        <v>149</v>
      </c>
      <c r="H63" s="21">
        <v>157.53</v>
      </c>
      <c r="I63" s="21">
        <v>8.5299999999999994</v>
      </c>
      <c r="J63" s="17" t="s">
        <v>86</v>
      </c>
      <c r="K63" s="22">
        <v>31511</v>
      </c>
      <c r="L63" s="18">
        <v>38</v>
      </c>
      <c r="M63" s="17" t="s">
        <v>336</v>
      </c>
      <c r="N63" s="17" t="s">
        <v>87</v>
      </c>
      <c r="O63" s="17">
        <v>29403</v>
      </c>
      <c r="P63" s="17" t="s">
        <v>89</v>
      </c>
      <c r="Q63" s="17" t="s">
        <v>90</v>
      </c>
      <c r="R63" s="17" t="s">
        <v>91</v>
      </c>
      <c r="S63" s="17" t="s">
        <v>447</v>
      </c>
      <c r="T63" s="23"/>
      <c r="U63" s="17"/>
      <c r="V63" s="17"/>
      <c r="W63" s="17"/>
      <c r="X63" s="17"/>
      <c r="Y63" s="17" t="s">
        <v>124</v>
      </c>
      <c r="Z63" s="23"/>
      <c r="AA63" s="17"/>
      <c r="AB63" s="17"/>
      <c r="AC63" s="17"/>
      <c r="AD63" s="17" t="s">
        <v>95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 t="s">
        <v>95</v>
      </c>
      <c r="BG63" s="17"/>
      <c r="BH63" s="17"/>
      <c r="BI63" s="17"/>
      <c r="BJ63" s="17"/>
      <c r="BK63" s="17" t="s">
        <v>96</v>
      </c>
      <c r="BL63" s="17"/>
      <c r="BM63" s="17"/>
      <c r="BN63" s="17" t="s">
        <v>448</v>
      </c>
      <c r="BO63" s="17" t="s">
        <v>449</v>
      </c>
      <c r="BP63" s="17" t="s">
        <v>450</v>
      </c>
      <c r="BQ63" s="23"/>
      <c r="BR63" s="17" t="s">
        <v>95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</row>
    <row r="64" spans="1:84" ht="15" x14ac:dyDescent="0.2">
      <c r="A64" s="17" t="s">
        <v>83</v>
      </c>
      <c r="B64" s="18">
        <v>50165284</v>
      </c>
      <c r="C64" s="19">
        <v>45478.953472222223</v>
      </c>
      <c r="D64" s="17" t="s">
        <v>451</v>
      </c>
      <c r="E64" s="17" t="s">
        <v>85</v>
      </c>
      <c r="F64" s="20"/>
      <c r="G64" s="21">
        <v>149</v>
      </c>
      <c r="H64" s="21">
        <v>157.08000000000001</v>
      </c>
      <c r="I64" s="21">
        <v>8.08</v>
      </c>
      <c r="J64" s="17" t="s">
        <v>86</v>
      </c>
      <c r="K64" s="22">
        <v>31585</v>
      </c>
      <c r="L64" s="18">
        <v>37</v>
      </c>
      <c r="M64" s="17" t="s">
        <v>329</v>
      </c>
      <c r="N64" s="17" t="s">
        <v>87</v>
      </c>
      <c r="O64" s="17">
        <v>90804</v>
      </c>
      <c r="P64" s="17" t="s">
        <v>89</v>
      </c>
      <c r="Q64" s="17" t="s">
        <v>90</v>
      </c>
      <c r="R64" s="17" t="s">
        <v>103</v>
      </c>
      <c r="S64" s="17" t="s">
        <v>104</v>
      </c>
      <c r="T64" s="17"/>
      <c r="U64" s="17"/>
      <c r="V64" s="17"/>
      <c r="W64" s="17"/>
      <c r="X64" s="17"/>
      <c r="Y64" s="17" t="s">
        <v>116</v>
      </c>
      <c r="Z64" s="17"/>
      <c r="AA64" s="17"/>
      <c r="AB64" s="17"/>
      <c r="AC64" s="17"/>
      <c r="AD64" s="17" t="s">
        <v>95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95</v>
      </c>
      <c r="BE64" s="17" t="s">
        <v>95</v>
      </c>
      <c r="BF64" s="17"/>
      <c r="BG64" s="17" t="s">
        <v>452</v>
      </c>
      <c r="BH64" s="23"/>
      <c r="BI64" s="17"/>
      <c r="BJ64" s="17"/>
      <c r="BK64" s="17" t="s">
        <v>96</v>
      </c>
      <c r="BL64" s="17"/>
      <c r="BM64" s="17"/>
      <c r="BN64" s="17" t="s">
        <v>453</v>
      </c>
      <c r="BO64" s="17" t="s">
        <v>454</v>
      </c>
      <c r="BP64" s="17" t="s">
        <v>455</v>
      </c>
      <c r="BQ64" s="17" t="s">
        <v>456</v>
      </c>
      <c r="BR64" s="17" t="s">
        <v>95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</row>
    <row r="65" spans="1:84" ht="15" x14ac:dyDescent="0.2">
      <c r="A65" s="17" t="s">
        <v>83</v>
      </c>
      <c r="B65" s="18">
        <v>50178989</v>
      </c>
      <c r="C65" s="19">
        <v>45479.614583333336</v>
      </c>
      <c r="D65" s="17" t="s">
        <v>457</v>
      </c>
      <c r="E65" s="17" t="s">
        <v>85</v>
      </c>
      <c r="F65" s="20"/>
      <c r="G65" s="21">
        <v>149</v>
      </c>
      <c r="H65" s="21">
        <v>157.08000000000001</v>
      </c>
      <c r="I65" s="21">
        <v>8.08</v>
      </c>
      <c r="J65" s="17" t="s">
        <v>112</v>
      </c>
      <c r="K65" s="22">
        <v>33495</v>
      </c>
      <c r="L65" s="18">
        <v>32</v>
      </c>
      <c r="M65" s="17" t="s">
        <v>458</v>
      </c>
      <c r="N65" s="17" t="s">
        <v>87</v>
      </c>
      <c r="O65" s="17">
        <v>30033</v>
      </c>
      <c r="P65" s="17" t="s">
        <v>89</v>
      </c>
      <c r="Q65" s="17" t="s">
        <v>90</v>
      </c>
      <c r="R65" s="17" t="s">
        <v>132</v>
      </c>
      <c r="S65" s="17" t="s">
        <v>104</v>
      </c>
      <c r="T65" s="17"/>
      <c r="U65" s="17"/>
      <c r="V65" s="17"/>
      <c r="W65" s="17"/>
      <c r="X65" s="17"/>
      <c r="Y65" s="17" t="s">
        <v>116</v>
      </c>
      <c r="Z65" s="17"/>
      <c r="AA65" s="17"/>
      <c r="AB65" s="17"/>
      <c r="AC65" s="17"/>
      <c r="AD65" s="17" t="s">
        <v>95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 t="s">
        <v>95</v>
      </c>
      <c r="BF65" s="17"/>
      <c r="BG65" s="17" t="s">
        <v>459</v>
      </c>
      <c r="BH65" s="23"/>
      <c r="BI65" s="17"/>
      <c r="BJ65" s="17" t="s">
        <v>266</v>
      </c>
      <c r="BK65" s="17" t="s">
        <v>96</v>
      </c>
      <c r="BL65" s="17"/>
      <c r="BM65" s="17"/>
      <c r="BN65" s="17" t="s">
        <v>460</v>
      </c>
      <c r="BO65" s="17" t="s">
        <v>461</v>
      </c>
      <c r="BP65" s="17" t="s">
        <v>462</v>
      </c>
      <c r="BQ65" s="17" t="s">
        <v>463</v>
      </c>
      <c r="BR65" s="17" t="s">
        <v>95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</row>
    <row r="66" spans="1:84" ht="15" x14ac:dyDescent="0.2">
      <c r="A66" s="17" t="s">
        <v>83</v>
      </c>
      <c r="B66" s="18">
        <v>50198448</v>
      </c>
      <c r="C66" s="19">
        <v>45480.597222222219</v>
      </c>
      <c r="D66" s="17" t="s">
        <v>464</v>
      </c>
      <c r="E66" s="17" t="s">
        <v>85</v>
      </c>
      <c r="F66" s="20"/>
      <c r="G66" s="21">
        <v>149</v>
      </c>
      <c r="H66" s="21">
        <v>157.08000000000001</v>
      </c>
      <c r="I66" s="21">
        <v>8.08</v>
      </c>
      <c r="J66" s="17" t="s">
        <v>112</v>
      </c>
      <c r="K66" s="22">
        <v>33969</v>
      </c>
      <c r="L66" s="18">
        <v>31</v>
      </c>
      <c r="M66" s="17" t="s">
        <v>465</v>
      </c>
      <c r="N66" s="17" t="s">
        <v>87</v>
      </c>
      <c r="O66" s="17" t="s">
        <v>293</v>
      </c>
      <c r="P66" s="17" t="s">
        <v>89</v>
      </c>
      <c r="Q66" s="17" t="s">
        <v>90</v>
      </c>
      <c r="R66" s="17" t="s">
        <v>113</v>
      </c>
      <c r="S66" s="17" t="s">
        <v>215</v>
      </c>
      <c r="T66" s="17"/>
      <c r="U66" s="17"/>
      <c r="V66" s="17"/>
      <c r="W66" s="17"/>
      <c r="X66" s="17"/>
      <c r="Y66" s="17" t="s">
        <v>116</v>
      </c>
      <c r="Z66" s="17"/>
      <c r="AA66" s="17"/>
      <c r="AB66" s="17"/>
      <c r="AC66" s="17"/>
      <c r="AD66" s="17" t="s">
        <v>95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 t="s">
        <v>95</v>
      </c>
      <c r="BF66" s="17"/>
      <c r="BG66" s="17" t="s">
        <v>466</v>
      </c>
      <c r="BH66" s="17"/>
      <c r="BI66" s="17"/>
      <c r="BJ66" s="17" t="s">
        <v>467</v>
      </c>
      <c r="BK66" s="17" t="s">
        <v>96</v>
      </c>
      <c r="BL66" s="17"/>
      <c r="BM66" s="17"/>
      <c r="BN66" s="17" t="s">
        <v>468</v>
      </c>
      <c r="BO66" s="23"/>
      <c r="BP66" s="17" t="s">
        <v>391</v>
      </c>
      <c r="BQ66" s="17"/>
      <c r="BR66" s="17" t="s">
        <v>95</v>
      </c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</row>
    <row r="67" spans="1:84" ht="15" x14ac:dyDescent="0.2">
      <c r="A67" s="17" t="s">
        <v>83</v>
      </c>
      <c r="B67" s="18">
        <v>50223659</v>
      </c>
      <c r="C67" s="19">
        <v>45481.551388888889</v>
      </c>
      <c r="D67" s="17" t="s">
        <v>469</v>
      </c>
      <c r="E67" s="17" t="s">
        <v>85</v>
      </c>
      <c r="F67" s="20" t="s">
        <v>470</v>
      </c>
      <c r="G67" s="21">
        <v>149</v>
      </c>
      <c r="H67" s="21">
        <v>104.81</v>
      </c>
      <c r="I67" s="21">
        <v>5.81</v>
      </c>
      <c r="J67" s="17" t="s">
        <v>86</v>
      </c>
      <c r="K67" s="22">
        <v>35875</v>
      </c>
      <c r="L67" s="18">
        <v>26</v>
      </c>
      <c r="M67" s="17" t="s">
        <v>83</v>
      </c>
      <c r="N67" s="17" t="s">
        <v>87</v>
      </c>
      <c r="O67" s="17">
        <v>30318</v>
      </c>
      <c r="P67" s="17" t="s">
        <v>89</v>
      </c>
      <c r="Q67" s="17" t="s">
        <v>90</v>
      </c>
      <c r="R67" s="17" t="s">
        <v>132</v>
      </c>
      <c r="S67" s="17" t="s">
        <v>259</v>
      </c>
      <c r="T67" s="17"/>
      <c r="U67" s="17"/>
      <c r="V67" s="17"/>
      <c r="W67" s="17"/>
      <c r="X67" s="17"/>
      <c r="Y67" s="17" t="s">
        <v>124</v>
      </c>
      <c r="Z67" s="23"/>
      <c r="AA67" s="17"/>
      <c r="AB67" s="17"/>
      <c r="AC67" s="17"/>
      <c r="AD67" s="17" t="s">
        <v>95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95</v>
      </c>
      <c r="BE67" s="17"/>
      <c r="BF67" s="17"/>
      <c r="BG67" s="17" t="s">
        <v>471</v>
      </c>
      <c r="BH67" s="17" t="s">
        <v>472</v>
      </c>
      <c r="BI67" s="17"/>
      <c r="BJ67" s="17"/>
      <c r="BK67" s="17" t="s">
        <v>96</v>
      </c>
      <c r="BL67" s="17"/>
      <c r="BM67" s="17"/>
      <c r="BN67" s="17" t="s">
        <v>473</v>
      </c>
      <c r="BO67" s="17" t="s">
        <v>474</v>
      </c>
      <c r="BP67" s="17" t="s">
        <v>402</v>
      </c>
      <c r="BQ67" s="17"/>
      <c r="BR67" s="17" t="s">
        <v>95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Dashboards</vt:lpstr>
      <vt:lpstr>Summary tables</vt:lpstr>
      <vt:lpstr>Playground</vt:lpstr>
      <vt:lpstr>Data 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Hillel Morris</cp:lastModifiedBy>
  <dcterms:created xsi:type="dcterms:W3CDTF">2026-02-23T17:36:17Z</dcterms:created>
  <dcterms:modified xsi:type="dcterms:W3CDTF">2026-02-23T17:36:17Z</dcterms:modified>
</cp:coreProperties>
</file>