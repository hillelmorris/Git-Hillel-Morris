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mc:AlternateContent xmlns:mc="http://schemas.openxmlformats.org/markup-compatibility/2006">
    <mc:Choice Requires="x15">
      <x15ac:absPath xmlns:x15ac="http://schemas.microsoft.com/office/spreadsheetml/2010/11/ac" url="/Users/hillelmorris/Downloads/"/>
    </mc:Choice>
  </mc:AlternateContent>
  <xr:revisionPtr revIDLastSave="0" documentId="8_{5A31838E-2A87-5F4F-8CAC-7160EF4B01CD}" xr6:coauthVersionLast="47" xr6:coauthVersionMax="47" xr10:uidLastSave="{00000000-0000-0000-0000-000000000000}"/>
  <bookViews>
    <workbookView xWindow="0" yWindow="680" windowWidth="34200" windowHeight="21460" xr2:uid="{00000000-000D-0000-FFFF-FFFF00000000}"/>
  </bookViews>
  <sheets>
    <sheet name="Dashboards" sheetId="9" r:id="rId1"/>
    <sheet name="Summary tables" sheetId="8" r:id="rId2"/>
    <sheet name="Playground" sheetId="7" r:id="rId3"/>
    <sheet name="Data Dictionary" sheetId="2" r:id="rId4"/>
    <sheet name="Data" sheetId="6" r:id="rId5"/>
  </sheets>
  <calcPr calcId="0"/>
  <pivotCaches>
    <pivotCache cacheId="64" r:id="rId6"/>
  </pivotCaches>
  <extLst>
    <ext uri="GoogleSheetsCustomDataVersion2">
      <go:sheetsCustomData xmlns:go="http://customooxmlschemas.google.com/" r:id="rId7" roundtripDataChecksum="TSFJNAAAeYwpD6MlTF0mkxcVrQlCx4hLGAz09l5cJUQ="/>
    </ext>
  </extLst>
</workbook>
</file>

<file path=xl/sharedStrings.xml><?xml version="1.0" encoding="utf-8"?>
<sst xmlns="http://schemas.openxmlformats.org/spreadsheetml/2006/main" count="2431" uniqueCount="791">
  <si>
    <t>Camp</t>
  </si>
  <si>
    <t>Registration ID</t>
  </si>
  <si>
    <t>Registration Date</t>
  </si>
  <si>
    <t>Name (Last Name)</t>
  </si>
  <si>
    <t>Tickets</t>
  </si>
  <si>
    <t>Coupon Code (Code)</t>
  </si>
  <si>
    <t>Revenue</t>
  </si>
  <si>
    <t>Total Paid ($ Amount)</t>
  </si>
  <si>
    <t>Processing &amp; Fees ($ Amount)</t>
  </si>
  <si>
    <t>Gender</t>
  </si>
  <si>
    <t>Date of Birth</t>
  </si>
  <si>
    <t>Age</t>
  </si>
  <si>
    <t>Address (City)</t>
  </si>
  <si>
    <t>Address (State)</t>
  </si>
  <si>
    <t>Address (ZIP/Postal Code)</t>
  </si>
  <si>
    <t>Address (Country)</t>
  </si>
  <si>
    <t>I confirm that all attendees registered under this order are over the age of 21 and will bring proof of age (government-issued Photo ID) to check-in at camp.</t>
  </si>
  <si>
    <t>T-Shirt Size</t>
  </si>
  <si>
    <t>Do you have any dietary restrictions? (None)</t>
  </si>
  <si>
    <t>Please explain</t>
  </si>
  <si>
    <t>Do you have a cabin preference?</t>
  </si>
  <si>
    <t>Do you have a roommate request?</t>
  </si>
  <si>
    <t>Please list their full name</t>
  </si>
  <si>
    <t>Do you have any bunkmate requests? Please list their name(s)</t>
  </si>
  <si>
    <t>What's your Jewish background?</t>
  </si>
  <si>
    <t>What brings you to Trybal?</t>
  </si>
  <si>
    <t>Have you attended any Trybal Gatherings events in the past? (Yes, Trybal camps)</t>
  </si>
  <si>
    <t>Have you attended any Trybal Gatherings events in the past? (Yes, Trybal events)</t>
  </si>
  <si>
    <t>Have you attended any Trybal Gatherings events in the past? (Yes, Ambassador events)</t>
  </si>
  <si>
    <t>Is this your first time at a Trybal Gathering experience?</t>
  </si>
  <si>
    <t>Which camps? (Berkshires 2017)</t>
  </si>
  <si>
    <t>Which camps? (Berkshires 2018)</t>
  </si>
  <si>
    <t>Which camps? (Berkshires 2019)</t>
  </si>
  <si>
    <t>Which camps? (Berkshires 2021)</t>
  </si>
  <si>
    <t>Which camps? (Berkshires 2022 Session 1)</t>
  </si>
  <si>
    <t>Which camps? (Berkshires 2022 Session 2)</t>
  </si>
  <si>
    <t>Which camps? (Berkshires 2023 Session 1)</t>
  </si>
  <si>
    <t>Which camps? (Berkshires 2023 Session 2)</t>
  </si>
  <si>
    <t>Which camps? (SoCal 2017)</t>
  </si>
  <si>
    <t>Which camps? (SoCal 2018)</t>
  </si>
  <si>
    <t>Which camps? (SoCal 2019)</t>
  </si>
  <si>
    <t>Which camps? (SoCal 2021)</t>
  </si>
  <si>
    <t>Which camps? (SoCal 2022)</t>
  </si>
  <si>
    <t>Which camps? (SoCal 2023)</t>
  </si>
  <si>
    <t>Which camps? (Midwest 2018)</t>
  </si>
  <si>
    <t>Which camps? (Midwest 2019)</t>
  </si>
  <si>
    <t>Which camps? (Midwest 2022)</t>
  </si>
  <si>
    <t>Which camps? (Midwest 2023)</t>
  </si>
  <si>
    <t>Which camps? (Chicago Day Camp 2021)</t>
  </si>
  <si>
    <t>Which camps? (Chicago Day Camp 2023)</t>
  </si>
  <si>
    <t>Which camps? (Seattle Day Camp 2021)</t>
  </si>
  <si>
    <t>Which camps? (Atlanta Day Camp 2021)</t>
  </si>
  <si>
    <t>Which camps? (South 2022)</t>
  </si>
  <si>
    <t>Which camps? (LA Day Camp 2022)</t>
  </si>
  <si>
    <t>Which camps? (LA Day Camp 2023)</t>
  </si>
  <si>
    <t>How did you hear about Trybal? (I'm an alum)</t>
  </si>
  <si>
    <t>How did you hear about Trybal? (Another Trybal event)</t>
  </si>
  <si>
    <t>How did you hear about Trybal? (Jewish Federation of Greater Atlanta)</t>
  </si>
  <si>
    <t>How did you hear about Trybal? (Marcus JCC of Atlanta (MJCCA))</t>
  </si>
  <si>
    <t>How did you hear about Trybal? (The Temple)</t>
  </si>
  <si>
    <t>How did you hear about Trybal? (Honeymoon Israel)</t>
  </si>
  <si>
    <t>How did you hear about Trybal? (Friends)</t>
  </si>
  <si>
    <t>How did you hear about Trybal? (Facebook)</t>
  </si>
  <si>
    <t>How did you hear about Trybal? (Instagram)</t>
  </si>
  <si>
    <t>How did you hear about Trybal? (A family member)</t>
  </si>
  <si>
    <t>How did you hear about Trybal? (Internet search)</t>
  </si>
  <si>
    <t>How did you hear about Trybal? (Press)</t>
  </si>
  <si>
    <t>How did you hear about Trybal? (Another Jewish organization)</t>
  </si>
  <si>
    <t>How did you hear about Trybal? (Other)</t>
  </si>
  <si>
    <t>Did you ever attend camp as a kid or as a staff member? (Yes, day camp)</t>
  </si>
  <si>
    <t>Did you ever attend camp as a kid or as a staff member? (Yes, overnight camp)</t>
  </si>
  <si>
    <t>Did you ever attend camp as a kid or as a staff member? (No)</t>
  </si>
  <si>
    <t>Which camp(s)?</t>
  </si>
  <si>
    <t>Which friend(s)?</t>
  </si>
  <si>
    <t>Which other Jewish organization(s)?</t>
  </si>
  <si>
    <t>Where'd you hear about Trybal?</t>
  </si>
  <si>
    <t>Do you have any medical or accessibility considerations we should be aware of?</t>
  </si>
  <si>
    <t>Are you interested in taking the bus from NYC?</t>
  </si>
  <si>
    <t>What do you do for a living?</t>
  </si>
  <si>
    <t>Tell us a fun fact about yourself!</t>
  </si>
  <si>
    <t>What's your favorite midnight snack?</t>
  </si>
  <si>
    <t>Anything else you want us to know?</t>
  </si>
  <si>
    <t>Please accept this waiver in order to register for the event.</t>
  </si>
  <si>
    <t>Atlanta</t>
  </si>
  <si>
    <t>Male</t>
  </si>
  <si>
    <t>GA</t>
  </si>
  <si>
    <t>US</t>
  </si>
  <si>
    <t>Confirm</t>
  </si>
  <si>
    <t>M</t>
  </si>
  <si>
    <t>Kosher</t>
  </si>
  <si>
    <t>I'm not Jewish</t>
  </si>
  <si>
    <t>Yes</t>
  </si>
  <si>
    <t>No</t>
  </si>
  <si>
    <t>XL</t>
  </si>
  <si>
    <t>None</t>
  </si>
  <si>
    <t>Just Jewish</t>
  </si>
  <si>
    <t>Cereal</t>
  </si>
  <si>
    <t>Female</t>
  </si>
  <si>
    <t>L</t>
  </si>
  <si>
    <t>Other</t>
  </si>
  <si>
    <t>Reform</t>
  </si>
  <si>
    <t>Marketing</t>
  </si>
  <si>
    <t>Oreos</t>
  </si>
  <si>
    <t>Conservative</t>
  </si>
  <si>
    <t>Ramah Darom</t>
  </si>
  <si>
    <t>S</t>
  </si>
  <si>
    <t>Culturally Jewish</t>
  </si>
  <si>
    <t>Brown</t>
  </si>
  <si>
    <t>XXL</t>
  </si>
  <si>
    <t>Pizza</t>
  </si>
  <si>
    <t>Chocolate</t>
  </si>
  <si>
    <t>-</t>
  </si>
  <si>
    <t>Gluten-free, Dairy-free</t>
  </si>
  <si>
    <t>PRESALE24</t>
  </si>
  <si>
    <t>Dairy-free</t>
  </si>
  <si>
    <t>IL</t>
  </si>
  <si>
    <t>FL</t>
  </si>
  <si>
    <t>Long Beach</t>
  </si>
  <si>
    <t>CA</t>
  </si>
  <si>
    <t>Vegetarian</t>
  </si>
  <si>
    <t>Attorney</t>
  </si>
  <si>
    <t>Gluten-free</t>
  </si>
  <si>
    <t>N/A</t>
  </si>
  <si>
    <t>Consultant</t>
  </si>
  <si>
    <t>Vegetarian, Dairy-free</t>
  </si>
  <si>
    <t>NJ</t>
  </si>
  <si>
    <t>Scientist</t>
  </si>
  <si>
    <t>Cheese</t>
  </si>
  <si>
    <t>Rosen</t>
  </si>
  <si>
    <t>Camp Horizon</t>
  </si>
  <si>
    <t>I have over 50 pairs of shoes.</t>
  </si>
  <si>
    <t>Fruit Snacks</t>
  </si>
  <si>
    <t>Rosenbaum</t>
  </si>
  <si>
    <t>Birthright coordinator</t>
  </si>
  <si>
    <t>I play in a pickleball league.</t>
  </si>
  <si>
    <t>Soft pretzel</t>
  </si>
  <si>
    <t>Tampa</t>
  </si>
  <si>
    <t>Popcorn</t>
  </si>
  <si>
    <t>Philadelphia</t>
  </si>
  <si>
    <t>PA</t>
  </si>
  <si>
    <t>Software Engineer</t>
  </si>
  <si>
    <t>Ice cream</t>
  </si>
  <si>
    <t>Journalist</t>
  </si>
  <si>
    <t>NA</t>
  </si>
  <si>
    <t>Doctor</t>
  </si>
  <si>
    <t>Cabin Lodging | Early Bird</t>
  </si>
  <si>
    <t>Chicago</t>
  </si>
  <si>
    <t>No preference</t>
  </si>
  <si>
    <t>Yes, send me more info</t>
  </si>
  <si>
    <t>Sales</t>
  </si>
  <si>
    <t>Austin</t>
  </si>
  <si>
    <t>Female Cabin</t>
  </si>
  <si>
    <t>TBD</t>
  </si>
  <si>
    <t>Cohen</t>
  </si>
  <si>
    <t>Private Lodging - Double | Early Bird</t>
  </si>
  <si>
    <t>Private Lodging - Double | Standard</t>
  </si>
  <si>
    <t>Maybe</t>
  </si>
  <si>
    <t>Private Lodging - Single | Early Bird</t>
  </si>
  <si>
    <t>Fort Lauderdale</t>
  </si>
  <si>
    <t>Co-ed Cabin</t>
  </si>
  <si>
    <t>No, assign me an awesome roommate!</t>
  </si>
  <si>
    <t>Male Cabin</t>
  </si>
  <si>
    <t>NY</t>
  </si>
  <si>
    <t>Levy</t>
  </si>
  <si>
    <t>MD</t>
  </si>
  <si>
    <t>Vegetarian, Other</t>
  </si>
  <si>
    <t>Boston</t>
  </si>
  <si>
    <t>MA</t>
  </si>
  <si>
    <t>Cabin Lodging | Standard</t>
  </si>
  <si>
    <t>Washington</t>
  </si>
  <si>
    <t>DC</t>
  </si>
  <si>
    <t>New York</t>
  </si>
  <si>
    <t>Ramen</t>
  </si>
  <si>
    <t>Brooklyn</t>
  </si>
  <si>
    <t>Astoria</t>
  </si>
  <si>
    <t>Somerville</t>
  </si>
  <si>
    <t>Eisner</t>
  </si>
  <si>
    <t>Shapsis</t>
  </si>
  <si>
    <t>Court Assistant</t>
  </si>
  <si>
    <t>Cheezits</t>
  </si>
  <si>
    <t>Rubin</t>
  </si>
  <si>
    <t>Bethesda</t>
  </si>
  <si>
    <t>Nyack</t>
  </si>
  <si>
    <t>Potato chips</t>
  </si>
  <si>
    <t>CT</t>
  </si>
  <si>
    <t>Psychologist</t>
  </si>
  <si>
    <t>HARTFORDCAMP</t>
  </si>
  <si>
    <t>Newton</t>
  </si>
  <si>
    <t>Pescatarian</t>
  </si>
  <si>
    <t>West Hartford</t>
  </si>
  <si>
    <t>Social worker</t>
  </si>
  <si>
    <t>Lewis</t>
  </si>
  <si>
    <t>Schneider</t>
  </si>
  <si>
    <t>International Proprietary Trader (finance/tech fields)</t>
  </si>
  <si>
    <t>Ice cream and cookies!</t>
  </si>
  <si>
    <t>Newington</t>
  </si>
  <si>
    <t>Fierberg</t>
  </si>
  <si>
    <t>Kosher, Gluten-free, Dairy-free</t>
  </si>
  <si>
    <t>Lauren Farber</t>
  </si>
  <si>
    <t>Legum</t>
  </si>
  <si>
    <t>Capital Camps</t>
  </si>
  <si>
    <t>Real Estate Development</t>
  </si>
  <si>
    <t>Lebowitz</t>
  </si>
  <si>
    <t>n/a</t>
  </si>
  <si>
    <t>Gene</t>
  </si>
  <si>
    <t>Mental health field</t>
  </si>
  <si>
    <t>I read science journals for entertainment</t>
  </si>
  <si>
    <t>Cocktails</t>
  </si>
  <si>
    <t>Cambridge</t>
  </si>
  <si>
    <t>Waltham</t>
  </si>
  <si>
    <t>Strategy Consultant</t>
  </si>
  <si>
    <t>Lawyer</t>
  </si>
  <si>
    <t>TX</t>
  </si>
  <si>
    <t>Toronto</t>
  </si>
  <si>
    <t>ON</t>
  </si>
  <si>
    <t>VA</t>
  </si>
  <si>
    <t>S’mores</t>
  </si>
  <si>
    <t>REPAIREXCHANGE749</t>
  </si>
  <si>
    <t>Forest Hills</t>
  </si>
  <si>
    <t>Satok</t>
  </si>
  <si>
    <t>Weinberg</t>
  </si>
  <si>
    <t>Fierston</t>
  </si>
  <si>
    <t>Camp Merriwood</t>
  </si>
  <si>
    <t>Roth</t>
  </si>
  <si>
    <t>Niad</t>
  </si>
  <si>
    <t>Berkshires 2</t>
  </si>
  <si>
    <t>Abeshouse</t>
  </si>
  <si>
    <t>Frenchwoods, once</t>
  </si>
  <si>
    <t>Andrew Van Bochove</t>
  </si>
  <si>
    <t>RN</t>
  </si>
  <si>
    <t>My nickname is Gabs and I solo traveled for a year working on farms after college.</t>
  </si>
  <si>
    <t>Berries and cream w peanut butter.</t>
  </si>
  <si>
    <t>Apfelbaum</t>
  </si>
  <si>
    <t>BERKSHIRESSWITCH</t>
  </si>
  <si>
    <t>02143-3494</t>
  </si>
  <si>
    <t>Emily Blumenthal, Joel Croft, Joel Cohen</t>
  </si>
  <si>
    <t>Horizons</t>
  </si>
  <si>
    <t>Nonprofit</t>
  </si>
  <si>
    <t>I make miniature book nooks as a hobby</t>
  </si>
  <si>
    <t>Bartman</t>
  </si>
  <si>
    <t>Alexandria</t>
  </si>
  <si>
    <t>Put me with cool people</t>
  </si>
  <si>
    <t>Camp Poyntelle</t>
  </si>
  <si>
    <t>Own a Scientific Supply Company</t>
  </si>
  <si>
    <t>I lived in China for 3.5 months</t>
  </si>
  <si>
    <t>Biscotti</t>
  </si>
  <si>
    <t>Bevilacqua</t>
  </si>
  <si>
    <t>MAXB</t>
  </si>
  <si>
    <t>Kensington</t>
  </si>
  <si>
    <t>Anyone from Eisner</t>
  </si>
  <si>
    <t>Webbed toes</t>
  </si>
  <si>
    <t>Blackman</t>
  </si>
  <si>
    <t>M5G2A1</t>
  </si>
  <si>
    <t>I was given a shared space private accommodation at Trybal Ski Weekend instead of the private room I paid for, therefore please consider giving me a private room alone at camp to account for this instead of a roommate.</t>
  </si>
  <si>
    <t>Kutz</t>
  </si>
  <si>
    <t>First time in four years, birthday isn't overlapping with camp</t>
  </si>
  <si>
    <t>Would rather be sleeping</t>
  </si>
  <si>
    <t>BLAY</t>
  </si>
  <si>
    <t>Camp Olympic (a Russian sleepaway camp that probably hasn't existed in 20 years)</t>
  </si>
  <si>
    <t>Strategy Consulting</t>
  </si>
  <si>
    <t>Every year, I build a new Lego menorah</t>
  </si>
  <si>
    <t>Cinnamon Chex</t>
  </si>
  <si>
    <t>Blumenthal</t>
  </si>
  <si>
    <t>Joel Cohen, Joel Croft, Rachel Apfelbaum</t>
  </si>
  <si>
    <t>Dena Goldstein</t>
  </si>
  <si>
    <t>Kenwood Kenmont Camp</t>
  </si>
  <si>
    <t>Katie Berlin</t>
  </si>
  <si>
    <t>Birthright Israel</t>
  </si>
  <si>
    <t>Nonprofit fundraising</t>
  </si>
  <si>
    <t>I was called up on stage at Second City</t>
  </si>
  <si>
    <t>Fruit w/optional chocolate and almond butter</t>
  </si>
  <si>
    <t>Butvin</t>
  </si>
  <si>
    <t>URJ Greene Family Camp, URJ Kutz Camp</t>
  </si>
  <si>
    <t>All of em</t>
  </si>
  <si>
    <t>Tech, Real Estate, Jewelry Manufacturing</t>
  </si>
  <si>
    <t>After college, I went to Vegas and tried to play professional poker for a living. Didn't work out.</t>
  </si>
  <si>
    <t>Goldfish</t>
  </si>
  <si>
    <t>I like camp</t>
  </si>
  <si>
    <t>Chaykin</t>
  </si>
  <si>
    <t>Seattle</t>
  </si>
  <si>
    <t>WA</t>
  </si>
  <si>
    <t>Tawonga</t>
  </si>
  <si>
    <t>Finance, M&amp;A</t>
  </si>
  <si>
    <t>Speak Japanese</t>
  </si>
  <si>
    <t>Livingston</t>
  </si>
  <si>
    <t>Harand Camp</t>
  </si>
  <si>
    <t>I'm a mental health therapist.</t>
  </si>
  <si>
    <t>I love theater, and will travel mainly to see shows.</t>
  </si>
  <si>
    <t>Anything with peanut butter</t>
  </si>
  <si>
    <t>Emily Blumenthal, Rachel Apfelbaum, Joel Croft</t>
  </si>
  <si>
    <t>Capital Camps and Emma Kaufman</t>
  </si>
  <si>
    <t>Emily Blumenthal</t>
  </si>
  <si>
    <t>CRAMER</t>
  </si>
  <si>
    <t>Amanda Zinkerman, Naomi Abrams (if she decides to sign up)</t>
  </si>
  <si>
    <t>Camp gan Izzy</t>
  </si>
  <si>
    <t>Urban Dor</t>
  </si>
  <si>
    <t>Real estate investor</t>
  </si>
  <si>
    <t>I speak Hebrew fluently</t>
  </si>
  <si>
    <t>Croft</t>
  </si>
  <si>
    <t>Rachel Apfelbaum; Emily Blumenthal; Joel Cohen</t>
  </si>
  <si>
    <t>CYJ Texas</t>
  </si>
  <si>
    <t>Need access to power outlet in cabin near bed for CPAP</t>
  </si>
  <si>
    <t>I have fostered over 200 puppies for a local rescue</t>
  </si>
  <si>
    <t>Nope!</t>
  </si>
  <si>
    <t>Czeck</t>
  </si>
  <si>
    <t>Long Island City</t>
  </si>
  <si>
    <t>Camp Nokomis</t>
  </si>
  <si>
    <t>Edell</t>
  </si>
  <si>
    <t>Upper Saddle River</t>
  </si>
  <si>
    <t>My work has literally touched the sun</t>
  </si>
  <si>
    <t>The answer is 42.</t>
  </si>
  <si>
    <t>Edelman</t>
  </si>
  <si>
    <t>Vegetarian, Vegan</t>
  </si>
  <si>
    <t>Admin</t>
  </si>
  <si>
    <t>I love to travel, but not many people know the first time I took a plane was in my early twenties</t>
  </si>
  <si>
    <t>Fruits for the win</t>
  </si>
  <si>
    <t>Greenwich</t>
  </si>
  <si>
    <t>Liz Brenner, Laurie Kamens</t>
  </si>
  <si>
    <t>I hate chocolate. I love ABBA. I want to live in Barcelona someday.</t>
  </si>
  <si>
    <t>Popcorn. Grapes.</t>
  </si>
  <si>
    <t>Fowler</t>
  </si>
  <si>
    <t>Computer engineer</t>
  </si>
  <si>
    <t>Fox</t>
  </si>
  <si>
    <t>Blue Rill Day Camp. I also attended the Boy Scout camp No-Be-Bos-Co one week when I was 12.</t>
  </si>
  <si>
    <t>Data Engineering and Data Science</t>
  </si>
  <si>
    <t>My family used to own a carpet business and in the early 1980s before I was born, before he became famous and was known for his role as Walter White in Breaking Bad and Hal in Malcolm in the middle, Bryan Cranston did some commercials for my family's carpet business.</t>
  </si>
  <si>
    <t>Warm Chocolate Chip Cookies fresh from the oven</t>
  </si>
  <si>
    <t>Furth</t>
  </si>
  <si>
    <t>Jennifer Gordon, Sarah Glaser, and Elana Shapiro</t>
  </si>
  <si>
    <t>Camp Ramah New England</t>
  </si>
  <si>
    <t>I work for JCC Association of North America.</t>
  </si>
  <si>
    <t>I have been to black, red, and pink sand beaches.</t>
  </si>
  <si>
    <t>Popcorn with m &amp; ms</t>
  </si>
  <si>
    <t>Garellek</t>
  </si>
  <si>
    <t>Jcc artsfest</t>
  </si>
  <si>
    <t>Lauren Wolfe</t>
  </si>
  <si>
    <t>Engineer for NBC</t>
  </si>
  <si>
    <t>Im a dual citizen of Canada and US</t>
  </si>
  <si>
    <t>Garfinkel</t>
  </si>
  <si>
    <t>rockville Centre</t>
  </si>
  <si>
    <t>Romaca</t>
  </si>
  <si>
    <t>Nicole Rosenberg</t>
  </si>
  <si>
    <t>I’m training for the NYC marathon</t>
  </si>
  <si>
    <t>Trader Joe’s Dark Chocolate Peanut Butter Cups</t>
  </si>
  <si>
    <t>Glaser</t>
  </si>
  <si>
    <t>Elana Shapiro, Jess Kamens</t>
  </si>
  <si>
    <t>Camp Ramapo, Camp Walt Whitman</t>
  </si>
  <si>
    <t>Finance - Data Transformation Strategy &amp; Content</t>
  </si>
  <si>
    <t>I have sung at Carnegie Hall multiple times.</t>
  </si>
  <si>
    <t>Tuna with chili crisp / Amy's bean &amp; cheese bites / crunchwrap supreme</t>
  </si>
  <si>
    <t>Gluck</t>
  </si>
  <si>
    <t>Michael</t>
  </si>
  <si>
    <t>Spring Lake</t>
  </si>
  <si>
    <t>Email</t>
  </si>
  <si>
    <t>Goldring</t>
  </si>
  <si>
    <t>Shibley</t>
  </si>
  <si>
    <t>Professional Development at a Law Firm</t>
  </si>
  <si>
    <t>I was on SNL singing a Chanukah song as a kid.</t>
  </si>
  <si>
    <t>Goldstein</t>
  </si>
  <si>
    <t>Brighton</t>
  </si>
  <si>
    <t>Ilena Kubit, Liz Brenner, Rachel Sanderson, Zoe Kershner</t>
  </si>
  <si>
    <t>Mt Ida Day Camp (now closed) and Camp Pembroke (overnight and a part of the Cohen Camp foundation)</t>
  </si>
  <si>
    <t>Account Manager at ezCater</t>
  </si>
  <si>
    <t>My bar mitzvah theme was ice cream and I wrote my college application admittance essay about ice cream!</t>
  </si>
  <si>
    <t>Popcorn and chocolate! Or takis and popcorn together (sounds weird but so good!)</t>
  </si>
  <si>
    <t>Excited to attend for the second year in a row!</t>
  </si>
  <si>
    <t>South Windsor</t>
  </si>
  <si>
    <t>Sabra</t>
  </si>
  <si>
    <t>I have epilepsy and it is under control with medication.</t>
  </si>
  <si>
    <t>Marketing Producer</t>
  </si>
  <si>
    <t>I used to host a podcast for my old job</t>
  </si>
  <si>
    <t>Popcorn and dark chocolate</t>
  </si>
  <si>
    <t>Zelle blocked me out because I put my wrong PIN number so I will try paying again tomorrow.</t>
  </si>
  <si>
    <t>Gordon</t>
  </si>
  <si>
    <t>Natick</t>
  </si>
  <si>
    <t>Rebecca Furth, Sarah Glasser, Elana Shapiro</t>
  </si>
  <si>
    <t>Nonprofit arts management</t>
  </si>
  <si>
    <t>I singer opera</t>
  </si>
  <si>
    <t>M &amp; Ms</t>
  </si>
  <si>
    <t>Grosinger</t>
  </si>
  <si>
    <t>Zoe Kirshner, Ilena Kubit, Rachel Sanderson</t>
  </si>
  <si>
    <t>Marimeta</t>
  </si>
  <si>
    <t>I don't have one :(</t>
  </si>
  <si>
    <t>Salt and vinegar chips</t>
  </si>
  <si>
    <t>nope!</t>
  </si>
  <si>
    <t>Guzovsky</t>
  </si>
  <si>
    <t>NEW YORK</t>
  </si>
  <si>
    <t>10025-5634</t>
  </si>
  <si>
    <t>Mount Ida Day Camp, Camp Nashoba North -- lots of other smaller camp sessions throughout the years</t>
  </si>
  <si>
    <t>I have a condition called MECFS. It consists of pretty bad fatigue and brain fog, to the point where I'm no longer able to work and I now live at home with my family while I try different treatments. I can still socialize but I get tired very quickly. I don't think I'll need any particular accommodations, just FYI that I'll probably only be able to join 1-2 events each day and will need to sit out the Color War.</t>
  </si>
  <si>
    <t>Lawyer but currently not working</t>
  </si>
  <si>
    <t>smores!</t>
  </si>
  <si>
    <t>Hassman</t>
  </si>
  <si>
    <t>Gluten-fre</t>
  </si>
  <si>
    <t>Actuary</t>
  </si>
  <si>
    <t>I am a multi state backgammon champion!</t>
  </si>
  <si>
    <t>Sleeping</t>
  </si>
  <si>
    <t>Honig</t>
  </si>
  <si>
    <t>Camp Hadar (NH), Camp Young Judaea (NH)</t>
  </si>
  <si>
    <t>When visiting family in Israel as a baby, I was scouted to be in a diaper commercial</t>
  </si>
  <si>
    <t>Kalmin</t>
  </si>
  <si>
    <t>TRYBALVIP</t>
  </si>
  <si>
    <t>Karnofsky</t>
  </si>
  <si>
    <t>I have magical phone number</t>
  </si>
  <si>
    <t>Mochi</t>
  </si>
  <si>
    <t>Kelly</t>
  </si>
  <si>
    <t>I heard about it through word of mouth at Camp Nai Nai Nai</t>
  </si>
  <si>
    <t>Medical Student</t>
  </si>
  <si>
    <t>Kogutt</t>
  </si>
  <si>
    <t>Virginia Beach</t>
  </si>
  <si>
    <t>Cyj Texas</t>
  </si>
  <si>
    <t>Roi</t>
  </si>
  <si>
    <t>Kubit</t>
  </si>
  <si>
    <t>Bolton</t>
  </si>
  <si>
    <t>Rachel Sanderson</t>
  </si>
  <si>
    <t>Rolling Hills Day Camp, Camp Lindenmere (sleep-away)</t>
  </si>
  <si>
    <t>Sales Enablement and Operations</t>
  </si>
  <si>
    <t>I've been bungee jumping and sky diving twice.</t>
  </si>
  <si>
    <t>pretzels and nutella</t>
  </si>
  <si>
    <t>Weston</t>
  </si>
  <si>
    <t>CP. Fully independent . Can Water Ski, Ski, RUn a business. Don't really want help</t>
  </si>
  <si>
    <t>Like the water</t>
  </si>
  <si>
    <t>Leicher</t>
  </si>
  <si>
    <t>Framingham</t>
  </si>
  <si>
    <t>Erika Mackin</t>
  </si>
  <si>
    <t>Mssa</t>
  </si>
  <si>
    <t>Ulcerative colitis.</t>
  </si>
  <si>
    <t>I like to break dance</t>
  </si>
  <si>
    <t>Cheese sticks</t>
  </si>
  <si>
    <t>Levin</t>
  </si>
  <si>
    <t>REPAIREXCHANGE750</t>
  </si>
  <si>
    <t>Morris Plains</t>
  </si>
  <si>
    <t>Camp Silverbrook (Girl Scout camp)</t>
  </si>
  <si>
    <t>Senior Physician medical editor (medical education company)</t>
  </si>
  <si>
    <t>I'm a lifetime member of Girl Scouts.</t>
  </si>
  <si>
    <t>Reese's peanut butter cups</t>
  </si>
  <si>
    <t>M5M 3B1</t>
  </si>
  <si>
    <t>Sprout Lake, Poyntelle Lewis Village, Longacre Leadership, Stone Mountain Adventure, Camp Horizons</t>
  </si>
  <si>
    <t>Records Analyst</t>
  </si>
  <si>
    <t>Did Backpacking Trip in Israel</t>
  </si>
  <si>
    <t>Fashion</t>
  </si>
  <si>
    <t>I am originally from Florida but I love the snow in NYC.</t>
  </si>
  <si>
    <t>Definitely Chocolate</t>
  </si>
  <si>
    <t>No pork or shellfish</t>
  </si>
  <si>
    <t>Law</t>
  </si>
  <si>
    <t>Currently registering from Spain</t>
  </si>
  <si>
    <t>Liebowitz</t>
  </si>
  <si>
    <t>Dorchester</t>
  </si>
  <si>
    <t>Merrick Woods Day Camp, timber lake West as a kid and I am currently a camp director at Camp Zeke</t>
  </si>
  <si>
    <t>sleepcamp director at Camp Zeke, a Jewish sleepaway camp in PA</t>
  </si>
  <si>
    <t>i play pickleball 4 times a week</t>
  </si>
  <si>
    <t>chocolate chip cookies</t>
  </si>
  <si>
    <t>no</t>
  </si>
  <si>
    <t>Linzer</t>
  </si>
  <si>
    <t>multiple</t>
  </si>
  <si>
    <t>healthcare</t>
  </si>
  <si>
    <t>I'm not sure whether Berkshires or Midwest</t>
  </si>
  <si>
    <t>Mackin</t>
  </si>
  <si>
    <t>Great Neck</t>
  </si>
  <si>
    <t>Rachel Leicher</t>
  </si>
  <si>
    <t>Pokemoke, Tamahay</t>
  </si>
  <si>
    <t>AI research</t>
  </si>
  <si>
    <t>I’m learning Hungarian on Duolingo and I’m terrible at it!</t>
  </si>
  <si>
    <t>McCluskey</t>
  </si>
  <si>
    <t>Montclair</t>
  </si>
  <si>
    <t>Dairy-free, other</t>
  </si>
  <si>
    <t>Peanut allergy, not too into beans</t>
  </si>
  <si>
    <t>Philip Karnofsky</t>
  </si>
  <si>
    <t>Jew curious</t>
  </si>
  <si>
    <t>Phil Karnofsky</t>
  </si>
  <si>
    <t>I love nature and hiking</t>
  </si>
  <si>
    <t>Fruit, pretzels and chips, seltzer</t>
  </si>
  <si>
    <t>introvert, sensory sensitivities, I don't drink alcohol</t>
  </si>
  <si>
    <t>Morrel</t>
  </si>
  <si>
    <t>Liat Schreiber</t>
  </si>
  <si>
    <t>Crane Lake Camp</t>
  </si>
  <si>
    <t>Sumner Lewis</t>
  </si>
  <si>
    <t>Jewish Nonprofit</t>
  </si>
  <si>
    <t>I love to craft</t>
  </si>
  <si>
    <t>Morrison</t>
  </si>
  <si>
    <t>Lynn</t>
  </si>
  <si>
    <t>Kinder Ring</t>
  </si>
  <si>
    <t>I am a type 2 Diabetic</t>
  </si>
  <si>
    <t>Systems Engineer</t>
  </si>
  <si>
    <t>I enjoy running</t>
  </si>
  <si>
    <t>gummie bears</t>
  </si>
  <si>
    <t>Lauren Rubin</t>
  </si>
  <si>
    <t>Camp Louise and Capital Camps in MD/PA</t>
  </si>
  <si>
    <t>Writer</t>
  </si>
  <si>
    <t>I’ve been to every NBA arena</t>
  </si>
  <si>
    <t>It will be my birthday during session two so I’m excited to celebrate :)</t>
  </si>
  <si>
    <t>Nielsen</t>
  </si>
  <si>
    <t>Saddle River</t>
  </si>
  <si>
    <t>Allergic to pepper, not black pepper but the vegetable/chili anything/red seasoning on things</t>
  </si>
  <si>
    <t>Scott Bartman</t>
  </si>
  <si>
    <t>Went to Tribal ski trip and had a nice time</t>
  </si>
  <si>
    <t>Camp Becket</t>
  </si>
  <si>
    <t>Online sales</t>
  </si>
  <si>
    <t>I've been going to latin dance classes for the last year!</t>
  </si>
  <si>
    <t>Paul</t>
  </si>
  <si>
    <t>Political Campaigns</t>
  </si>
  <si>
    <t>Been to Iceland.</t>
  </si>
  <si>
    <t>Pearl</t>
  </si>
  <si>
    <t>I am a medical receptionist.</t>
  </si>
  <si>
    <t>I am ambidextrous.</t>
  </si>
  <si>
    <t>Ice cream.</t>
  </si>
  <si>
    <t>I am looking forward to learning more about Jewish culture.</t>
  </si>
  <si>
    <t>Pomerantz</t>
  </si>
  <si>
    <t>Camp Ramah</t>
  </si>
  <si>
    <t>EMT</t>
  </si>
  <si>
    <t>I have 2 adorable dogs</t>
  </si>
  <si>
    <t>Fritos</t>
  </si>
  <si>
    <t>I’m also going on the Trybal Israel trip in June!</t>
  </si>
  <si>
    <t>Ritchie</t>
  </si>
  <si>
    <t>G;uten-free</t>
  </si>
  <si>
    <t>Camp Lakeland, Franklinville NY</t>
  </si>
  <si>
    <t>I'm getting into jam skating</t>
  </si>
  <si>
    <t>mochi</t>
  </si>
  <si>
    <t>Alicia Rosenbaum</t>
  </si>
  <si>
    <t>Product surveillance for surgical devices</t>
  </si>
  <si>
    <t>T-Shirt size is for Women's fitted only, anything regular would be a small</t>
  </si>
  <si>
    <t>Sarah Rosen</t>
  </si>
  <si>
    <t>Vienna</t>
  </si>
  <si>
    <t>kosher-style. no mixing milk and meat, nor pork, no shellfish</t>
  </si>
  <si>
    <t>Rivers camp (not a Jewish camp)</t>
  </si>
  <si>
    <t>various</t>
  </si>
  <si>
    <t>Head of Autonomy Technology (robotics and artificial intelligence)</t>
  </si>
  <si>
    <t>I've competed in the Quidditch World Cup</t>
  </si>
  <si>
    <t>tamarinds, girl scout cookies, or salmon</t>
  </si>
  <si>
    <t>LAURENR</t>
  </si>
  <si>
    <t>Morristown</t>
  </si>
  <si>
    <t>Name TBD, working on recruiting someone with a similar sleep schedule!</t>
  </si>
  <si>
    <t>Camp Laurelwood</t>
  </si>
  <si>
    <t>I have a heart condition. I don't require any special treatment, I manage it on my own, I just can't really do the cardio activities during color war. I would gladly pay extra to be in own room to control sleep if a private room opens up closer to camp!</t>
  </si>
  <si>
    <t>Vice President of a Uniform an international company that makes custom uniforms for theme parks, schools, hotels, cruise ships, etc. Anything ranging from logo'd items to crazy costumes worn by actors around the world.</t>
  </si>
  <si>
    <t>I'm a Harry Potter geek!</t>
  </si>
  <si>
    <t>Varies with my mood and sobriety level, but I'm always happy to reach for something with chocolate and a handful of chips!</t>
  </si>
  <si>
    <t>I'm excited to return to camp this summer!!</t>
  </si>
  <si>
    <t>Sabel</t>
  </si>
  <si>
    <t>Satmar, Hadar, Chai Sura,</t>
  </si>
  <si>
    <t>VP of Finance</t>
  </si>
  <si>
    <t>I have a nephew my age</t>
  </si>
  <si>
    <t>Dark Chocolate anything</t>
  </si>
  <si>
    <t>Sadoff</t>
  </si>
  <si>
    <t>Monosodium Glutamate (MSG)</t>
  </si>
  <si>
    <t>Hertzl, Young Judea, Interlaken JCC</t>
  </si>
  <si>
    <t>Chemical Engineer</t>
  </si>
  <si>
    <t>Homebrewer</t>
  </si>
  <si>
    <t>Icecream</t>
  </si>
  <si>
    <t>Salitsky</t>
  </si>
  <si>
    <t>Camp Ramah of New England, Camp Micah, French Woods for the Performing Arts and likely a few others I can't remember!</t>
  </si>
  <si>
    <t>I have an unparalleled ability to remember tunes, song lyrics and who songs are by/what their title is. It makes me great at trivia and Name The Tune.</t>
  </si>
  <si>
    <t>It depends on my mood but lately Golden Grahams with almond milk. I also won't ever say no to ice cream or anything sweet and salty.</t>
  </si>
  <si>
    <t>If I get a spot in the first session, this is my second choice so please refund this if so! If not, I am more than happy to attend this session. And I'd love information on car pooling from Boston/Worcester if that is still something that is done!</t>
  </si>
  <si>
    <t>SANDERSON</t>
  </si>
  <si>
    <t>Fayetteville</t>
  </si>
  <si>
    <t>Ilena Kubit</t>
  </si>
  <si>
    <t>Camp Young Judaea, Amherst NH</t>
  </si>
  <si>
    <t>CPA - Consulting</t>
  </si>
  <si>
    <t>I've skied in 3 countries!</t>
  </si>
  <si>
    <t>Camp Kadimah, URJ Kutz Camp, Camp Ramah Canada</t>
  </si>
  <si>
    <t>Can I add this at later time? For now, preference is a Co-ed bunk with those of similar ages please. &amp; Prefer one where there’s not a large one or two groups of friends who’ve requested to be together. (Depending on group, that can feel isolating at times).</t>
  </si>
  <si>
    <t>Attended a huge variety of day camps, travel, sports, wilderness, &amp; academic camps, but too numerous to mention all! But none were “strictly” Jewish camps.</t>
  </si>
  <si>
    <t>Consider myself a foodie and ate at a “Bugsgiving” in Brooklyn where EVERY course contained a different insect!</t>
  </si>
  <si>
    <t>Had a great time last summer (with a good bunk) &amp; looking forward to doing again! 🤗 Also, pls note that credit card has different first name (Adam.. who is my dad), but registrant’s name for camp/bus from NY should be mine (Eric).</t>
  </si>
  <si>
    <t>Shaner</t>
  </si>
  <si>
    <t>JORDANSINAI</t>
  </si>
  <si>
    <t>Vegetarian, Kosher</t>
  </si>
  <si>
    <t>Schwayder in Colorado, Newman in California, Camp George in Ontario</t>
  </si>
  <si>
    <t>Jen Queen, Jeff Stombaugh</t>
  </si>
  <si>
    <t>Rabbi at Temple Sinai Congregation of Toronto</t>
  </si>
  <si>
    <t>Met my wife in Memphis, Tennessee</t>
  </si>
  <si>
    <t>french fries and coffee</t>
  </si>
  <si>
    <t>So excited to be there this summer.</t>
  </si>
  <si>
    <t>Shapiro</t>
  </si>
  <si>
    <t>Not strictly kosher, but no pork no shellfish etc. and limited mixing of meat and dairy</t>
  </si>
  <si>
    <t>Sarah Glaser</t>
  </si>
  <si>
    <t>Pocono Ridge, Summit</t>
  </si>
  <si>
    <t>Program Manager @ Healthcare Tech Co</t>
  </si>
  <si>
    <t>I recently became an Austrian citizen</t>
  </si>
  <si>
    <t>Popcorn with olive oil, salt and pepper</t>
  </si>
  <si>
    <t>I had 23 hampsters when I was younger</t>
  </si>
  <si>
    <t>Singer</t>
  </si>
  <si>
    <t>Jessup</t>
  </si>
  <si>
    <t>Kosher style (no pork, shellfish) but not full kosher</t>
  </si>
  <si>
    <t>Camp Emerson (1 summer only)</t>
  </si>
  <si>
    <t>Pediatrician (more specifically, Pediatric Hospital Medicine fellow)</t>
  </si>
  <si>
    <t>I was a gymnast for 13 years and then a pole vaulter after that. I even got to compete pole vault in the Maccabiah Games in Israel in 2017!</t>
  </si>
  <si>
    <t>Popcorn or mac &amp; cheese!!</t>
  </si>
  <si>
    <t>Cabin preference is female or co-ed (not male) please!</t>
  </si>
  <si>
    <t>Stein</t>
  </si>
  <si>
    <t>I'm pescetarian - vegetarian plus I eat fish</t>
  </si>
  <si>
    <t>Isabella Friedman in the Berkshires, Camp Ramah</t>
  </si>
  <si>
    <t>Email?</t>
  </si>
  <si>
    <t>scrum master</t>
  </si>
  <si>
    <t>I used to play roller derby, including in Tel Aviv!</t>
  </si>
  <si>
    <t>Strawberries</t>
  </si>
  <si>
    <t>Stevens</t>
  </si>
  <si>
    <t>TORONTOCAMP</t>
  </si>
  <si>
    <t>Sharon</t>
  </si>
  <si>
    <t>02067-2322</t>
  </si>
  <si>
    <t>URJ Camp George</t>
  </si>
  <si>
    <t>Temple Sinai Toronto</t>
  </si>
  <si>
    <t>Celiac disease; dairy allergy</t>
  </si>
  <si>
    <t>Pembroke</t>
  </si>
  <si>
    <t>Tevye, Grossman</t>
  </si>
  <si>
    <t>Rachel Leicher, Erika Mackin</t>
  </si>
  <si>
    <t>If I can be in a bunk closet to the main activities that would be good because I have a muscle condition and sometimes get stiff muscles and tired with walking</t>
  </si>
  <si>
    <t>Mental Health Therapist</t>
  </si>
  <si>
    <t>I have a Bernese Mountain Dog named Maggie!</t>
  </si>
  <si>
    <t>String cheese, cheerios and milk, cornflakes and milk</t>
  </si>
  <si>
    <t>I'm excited! :) I have a friend who lives in Great Barrington and I am waiting to see if she wants to come and if we could just do the day camp and not overnight if we stay at her house. Is that a possibility? I am waiting to hear back but wanted to make sure I have a spot. Also, I would prefer single room but I don't know if wait list opens up often for that? That's if my friend doesn't come from Great Barrington I mean.</t>
  </si>
  <si>
    <t>Willinsky</t>
  </si>
  <si>
    <t>Kingswood</t>
  </si>
  <si>
    <t>Date</t>
  </si>
  <si>
    <t>Chinese food or pizza</t>
  </si>
  <si>
    <t>Wolf</t>
  </si>
  <si>
    <t>Geographic information systems</t>
  </si>
  <si>
    <t>My parents live down the road from camp</t>
  </si>
  <si>
    <t>Nah</t>
  </si>
  <si>
    <t>Wolff</t>
  </si>
  <si>
    <t>Greenbelt</t>
  </si>
  <si>
    <t>New England Music Camp</t>
  </si>
  <si>
    <t>Malka Benjamin, Lauren Gendzier, Hannah Gendelman</t>
  </si>
  <si>
    <t>I am a cantor. But shhhh... I don't intend to lead any activities at Trybal.</t>
  </si>
  <si>
    <t>I am an accredited canoe intructor!</t>
  </si>
  <si>
    <t>An apple.</t>
  </si>
  <si>
    <t>Looking forward to meeting some new people, especially from Greater Boston/New England.</t>
  </si>
  <si>
    <t>Zinkerman</t>
  </si>
  <si>
    <t>Zoe Cramer, Naomi Abrams (If she attends)</t>
  </si>
  <si>
    <t>Simon Lichter</t>
  </si>
  <si>
    <t>Court Clerk</t>
  </si>
  <si>
    <t>I love zumba and salsa dancing</t>
  </si>
  <si>
    <t>Anything sweet!</t>
  </si>
  <si>
    <t>Zweigbaum</t>
  </si>
  <si>
    <t>Camp Lindenmere, Camp Deeny Riback</t>
  </si>
  <si>
    <t>Digital Marketing</t>
  </si>
  <si>
    <t>I was color war general!</t>
  </si>
  <si>
    <t>Kronfeld</t>
  </si>
  <si>
    <t>Ramah Nyack, Camp Tel Yehuda</t>
  </si>
  <si>
    <t>Construction Administrator</t>
  </si>
  <si>
    <t>I was on Japanese TV in 2012</t>
  </si>
  <si>
    <t>Rochelson</t>
  </si>
  <si>
    <t>Rebecca Furth</t>
  </si>
  <si>
    <t>Camp Ramah in New England</t>
  </si>
  <si>
    <t>Public Health Educator</t>
  </si>
  <si>
    <t>I’m a firefighter &amp; EMT</t>
  </si>
  <si>
    <t>Tanzer</t>
  </si>
  <si>
    <t>Beth Sholom Day Camp in Roslyn, NY</t>
  </si>
  <si>
    <t>Procurement Analyst</t>
  </si>
  <si>
    <t>I love to play and write music!</t>
  </si>
  <si>
    <t>Cookies and milk!</t>
  </si>
  <si>
    <t>Lowenstein</t>
  </si>
  <si>
    <t>Interlochen Center for the Arts</t>
  </si>
  <si>
    <t>Training and Development for an Israeli Startup (Empathy)</t>
  </si>
  <si>
    <t>My nyc apartment doubles as an escape room</t>
  </si>
  <si>
    <t>Kettle corn</t>
  </si>
  <si>
    <t>Field Name</t>
  </si>
  <si>
    <t>Description</t>
  </si>
  <si>
    <t>Data Type</t>
  </si>
  <si>
    <t>Possible Values / Notes</t>
  </si>
  <si>
    <t>The camp the attendee is registering for</t>
  </si>
  <si>
    <t>Text</t>
  </si>
  <si>
    <t>e.g., Berkshires, SoCal, Midwest, Day Camp</t>
  </si>
  <si>
    <t>Unique identifier for the registration record</t>
  </si>
  <si>
    <t>Text / Numeric</t>
  </si>
  <si>
    <t>Unique per registration</t>
  </si>
  <si>
    <t>Date the registration was submitted</t>
  </si>
  <si>
    <t>YYYY-MM-DD</t>
  </si>
  <si>
    <t>Attendee’s last name</t>
  </si>
  <si>
    <t>Number of tickets purchased for this registration</t>
  </si>
  <si>
    <t>Numeric</t>
  </si>
  <si>
    <t>Discount or promotional code applied</t>
  </si>
  <si>
    <t>Optional</t>
  </si>
  <si>
    <t>Total revenue generated by this registration</t>
  </si>
  <si>
    <t>Total amount paid by the registrant</t>
  </si>
  <si>
    <t>Currency</t>
  </si>
  <si>
    <t>Additional processing or service fees applied</t>
  </si>
  <si>
    <t>Attendee’s gender</t>
  </si>
  <si>
    <t>Male, Female, Non-binary, Prefer not to say</t>
  </si>
  <si>
    <t>Attendee’s date of birth</t>
  </si>
  <si>
    <t>Attendee’s age at registration</t>
  </si>
  <si>
    <t>City of the attendee</t>
  </si>
  <si>
    <t>State or province of the attendee</t>
  </si>
  <si>
    <t>Postal code</t>
  </si>
  <si>
    <t>Country of residence</t>
  </si>
  <si>
    <t>Confirmation that all attendees are 21+ and will bring ID</t>
  </si>
  <si>
    <t>Boolean / Text</t>
  </si>
  <si>
    <t>Yes / No</t>
  </si>
  <si>
    <t>Attendee’s t-shirt size</t>
  </si>
  <si>
    <t>XS, S, M, L, XL</t>
  </si>
  <si>
    <t>Indicates if attendee has dietary restrictions</t>
  </si>
  <si>
    <t>Text / Boolean</t>
  </si>
  <si>
    <t>None / Yes</t>
  </si>
  <si>
    <t>Explanation of dietary restrictions</t>
  </si>
  <si>
    <t>Attendee’s cabin preference</t>
  </si>
  <si>
    <t>Indicates if attendee has a roommate request</t>
  </si>
  <si>
    <t>Full name of requested roommate</t>
  </si>
  <si>
    <t>Bunkmate requests</t>
  </si>
  <si>
    <t>Attendee’s Jewish background</t>
  </si>
  <si>
    <t>Reason for attending Trybal</t>
  </si>
  <si>
    <t>Open-ended</t>
  </si>
  <si>
    <t>Previous attendance at Trybal camps</t>
  </si>
  <si>
    <t>Boolean</t>
  </si>
  <si>
    <t>Previous attendance at Trybal events</t>
  </si>
  <si>
    <t>Previous attendance at Ambassador events</t>
  </si>
  <si>
    <t>Indicates if this is the first Trybal experience</t>
  </si>
  <si>
    <t>Attended Berkshires 2017 camp</t>
  </si>
  <si>
    <t>Attended Berkshires 2018 camp</t>
  </si>
  <si>
    <t>Attended Berkshires 2019 camp</t>
  </si>
  <si>
    <t>Attended Berkshires 2021 camp</t>
  </si>
  <si>
    <t>Attended Berkshires 2022 Session 1 camp</t>
  </si>
  <si>
    <t>Attended Berkshires 2022 Session 2 camp</t>
  </si>
  <si>
    <t>Attended Berkshires 2023 Session 1 camp</t>
  </si>
  <si>
    <t>Attended Berkshires 2023 Session 2 camp</t>
  </si>
  <si>
    <t>Attended SoCal 2017 camp</t>
  </si>
  <si>
    <t>Attended SoCal 2018 camp</t>
  </si>
  <si>
    <t>Attended SoCal 2019 camp</t>
  </si>
  <si>
    <t>Attended SoCal 2021 camp</t>
  </si>
  <si>
    <t>Attended SoCal 2022 camp</t>
  </si>
  <si>
    <t>Attended SoCal 2023 camp</t>
  </si>
  <si>
    <t>Attended Midwest 2018 camp</t>
  </si>
  <si>
    <t>Attended Midwest 2019 camp</t>
  </si>
  <si>
    <t>Attended Midwest 2022 camp</t>
  </si>
  <si>
    <t>Attended Midwest 2023 camp</t>
  </si>
  <si>
    <t>Attended Chicago Day Camp 2021</t>
  </si>
  <si>
    <t>Attended Chicago Day Camp 2023</t>
  </si>
  <si>
    <t>Attended Seattle Day Camp 2021</t>
  </si>
  <si>
    <t>Attended Atlanta Day Camp 2021</t>
  </si>
  <si>
    <t>Attended South 2022 camp</t>
  </si>
  <si>
    <t>Attended LA Day Camp 2022</t>
  </si>
  <si>
    <t>Attended LA Day Camp 2023</t>
  </si>
  <si>
    <t>Source of referral / how attendee heard about Trybal</t>
  </si>
  <si>
    <t>e.g., Alum, Social Media, Friend, Email</t>
  </si>
  <si>
    <t>Playground Pivot – Drag fields to analyze data</t>
  </si>
  <si>
    <t>Row Labels</t>
  </si>
  <si>
    <t>Grand Total</t>
  </si>
  <si>
    <t>Count of Registrations</t>
  </si>
  <si>
    <t>Revenue by Camp</t>
  </si>
  <si>
    <t>Revenue Sum</t>
  </si>
  <si>
    <t>Total Paid Sum</t>
  </si>
  <si>
    <t>Processing &amp; Fees Sum</t>
  </si>
  <si>
    <t>Camp by Age (Counts)</t>
  </si>
  <si>
    <t>33</t>
  </si>
  <si>
    <t>37</t>
  </si>
  <si>
    <t>39</t>
  </si>
  <si>
    <t>36</t>
  </si>
  <si>
    <t>30</t>
  </si>
  <si>
    <t>28</t>
  </si>
  <si>
    <t>35</t>
  </si>
  <si>
    <t>27</t>
  </si>
  <si>
    <t>34</t>
  </si>
  <si>
    <t>29</t>
  </si>
  <si>
    <t>41</t>
  </si>
  <si>
    <t>31</t>
  </si>
  <si>
    <t>26</t>
  </si>
  <si>
    <t>38</t>
  </si>
  <si>
    <t>32</t>
  </si>
  <si>
    <t>40</t>
  </si>
  <si>
    <t>24</t>
  </si>
  <si>
    <t>42</t>
  </si>
  <si>
    <t>23</t>
  </si>
  <si>
    <t>Background by Camp</t>
  </si>
  <si>
    <t>Previously Attended Camps</t>
  </si>
  <si>
    <t>Berkshires 2017</t>
  </si>
  <si>
    <t>Berkshires 2018</t>
  </si>
  <si>
    <t>Berkshires 2019</t>
  </si>
  <si>
    <t>Berkshires 2021</t>
  </si>
  <si>
    <t>Berkshires 2022 Session 1</t>
  </si>
  <si>
    <t>Berkshires 2022 Session 2</t>
  </si>
  <si>
    <t>Berkshires 2023 Session 1</t>
  </si>
  <si>
    <t>Berkshires 2023 Session 2</t>
  </si>
  <si>
    <t>SoCal 2017</t>
  </si>
  <si>
    <t>SoCal 2018</t>
  </si>
  <si>
    <t>SoCal 2019</t>
  </si>
  <si>
    <t>SoCal 2021</t>
  </si>
  <si>
    <t>SoCal 2022</t>
  </si>
  <si>
    <t>SoCal 2023</t>
  </si>
  <si>
    <t>Midwest 2018</t>
  </si>
  <si>
    <t>Midwest 2019</t>
  </si>
  <si>
    <t>Midwest 2022</t>
  </si>
  <si>
    <t>Midwest 2023</t>
  </si>
  <si>
    <t>Chicago Day Camp 2021</t>
  </si>
  <si>
    <t>Chicago Day Camp 2023</t>
  </si>
  <si>
    <t>Seattle Day Camp 2021</t>
  </si>
  <si>
    <t>Atlanta Day Camp 2021</t>
  </si>
  <si>
    <t>South 2022</t>
  </si>
  <si>
    <t>LA Day Camp 2022</t>
  </si>
  <si>
    <t>LA Day Camp 2023</t>
  </si>
  <si>
    <t>Dashboard generated February 23, 2026</t>
  </si>
  <si>
    <t>Mac Users: You may need to right click on tables in order to see data after opening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</si>
</sst>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yyyy\-mm\-dd"/>
  </numFmts>
  <fonts count="8" x14ac:knownFonts="1">
    <font>
      <sz val="10"/>
      <color rgb="FF000000"/>
      <name val="Arial"/>
      <scheme val="minor"/>
    </font>
    <font>
      <b/>
      <sz val="11"/>
      <color theme="1"/>
      <name val="Calibri"/>
      <family val="2"/>
    </font>
    <font>
      <sz val="11"/>
      <color rgb="FF000000"/>
      <name val="Calibri"/>
      <family val="2"/>
    </font>
    <font>
      <sz val="11"/>
      <color theme="1"/>
      <name val="Calibri"/>
      <family val="2"/>
    </font>
    <font>
      <b/>
      <sz val="14"/>
      <color rgb="FF000000"/>
      <name val="Arial"/>
      <family val="2"/>
      <scheme val="minor"/>
    </font>
    <font>
      <b/>
      <sz val="18"/>
      <color rgb="FF000000"/>
      <name val="Arial"/>
      <family val="2"/>
      <scheme val="minor"/>
    </font>
    <font>
      <b/>
      <i/>
      <sz val="18"/>
      <color rgb="FF000000"/>
      <name val="Arial"/>
      <family val="2"/>
      <scheme val="minor"/>
    </font>
    <font>
      <b/>
      <i/>
      <sz val="12"/>
      <color rgb="FFFF0000"/>
      <name val="Arial"/>
      <family val="2"/>
      <scheme val="minor"/>
    </font>
  </fonts>
  <fills count="3">
    <fill>
      <patternFill patternType="none"/>
    </fill>
    <fill>
      <patternFill patternType="gray125"/>
    </fill>
    <fill>
      <patternFill patternType="solid">
        <fgColor rgb="FFD9D9D9"/>
        <bgColor indexed="64"/>
      </patternFill>
    </fill>
  </fills>
  <borders count="2">
    <border>
      <left/>
      <right/>
      <top/>
      <bottom/>
      <diagonal/>
    </border>
    <border>
      <left style="thin">
        <color auto="1"/>
      </left>
      <right style="thin">
        <color indexed="64"/>
      </right>
      <top style="thin">
        <color auto="1"/>
      </top>
      <bottom style="thin">
        <color indexed="64"/>
      </bottom>
      <diagonal/>
    </border>
  </borders>
  <cellStyleXfs count="1">
    <xf numFmtId="0" fontId="0" fillId="0" borderId="0"/>
  </cellStyleXfs>
  <cellXfs count="27">
    <xf numFmtId="0" fontId="0" fillId="0" borderId="0" xfId="0"/>
    <xf numFmtId="0" fontId="0" fillId="0" borderId="0" xfId="0" applyAlignment="1">
      <alignmen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center"/>
    </xf>
    <xf numFmtId="0" fontId="0" fillId="0" borderId="0" xfId="0" applyAlignment="1">
      <alignment horizontal="left"/>
    </xf>
    <xf numFmtId="0" fontId="0" fillId="0" borderId="0" xfId="0" applyAlignment="1">
      <alignment horizontal="right"/>
    </xf>
    <xf numFmtId="0" fontId="4" fillId="0" borderId="0" xfId="0" applyFont="1"/>
    <xf numFmtId="0" fontId="0" fillId="0" borderId="0" xfId="0" pivotButton="1"/>
    <xf numFmtId="164" fontId="0" fillId="0" borderId="0" xfId="0" applyNumberFormat="1"/>
    <xf numFmtId="0" fontId="5" fillId="0" borderId="0" xfId="0" applyFont="1" applyAlignment="1">
      <alignment horizontal="left" vertical="center"/>
    </xf>
    <xf numFmtId="0" fontId="7" fillId="0" borderId="0" xfId="0" applyFont="1" applyAlignment="1">
      <alignment horizontal="left" vertical="center"/>
    </xf>
    <xf numFmtId="0" fontId="4" fillId="0" borderId="0" xfId="0" applyFont="1" applyAlignment="1">
      <alignment horizontal="center"/>
    </xf>
    <xf numFmtId="0" fontId="0" fillId="0" borderId="0" xfId="0" applyAlignment="1">
      <alignment horizontal="center"/>
    </xf>
    <xf numFmtId="0" fontId="1" fillId="2" borderId="1" xfId="0" applyFont="1" applyFill="1" applyBorder="1" applyAlignment="1">
      <alignment horizontal="left" vertical="center"/>
    </xf>
    <xf numFmtId="0" fontId="1" fillId="2" borderId="1" xfId="0" applyFont="1" applyFill="1" applyBorder="1" applyAlignment="1">
      <alignment horizontal="right" vertical="center"/>
    </xf>
    <xf numFmtId="0" fontId="3" fillId="0" borderId="1" xfId="0" applyFont="1" applyBorder="1" applyAlignment="1">
      <alignment horizontal="left"/>
    </xf>
    <xf numFmtId="0" fontId="3" fillId="0" borderId="1" xfId="0" applyFont="1" applyBorder="1" applyAlignment="1">
      <alignment horizontal="right"/>
    </xf>
    <xf numFmtId="22" fontId="3" fillId="0" borderId="1" xfId="0" applyNumberFormat="1" applyFont="1" applyBorder="1" applyAlignment="1">
      <alignment horizontal="left"/>
    </xf>
    <xf numFmtId="0" fontId="2" fillId="0" borderId="1" xfId="0" applyFont="1" applyBorder="1" applyAlignment="1">
      <alignment horizontal="left"/>
    </xf>
    <xf numFmtId="164" fontId="3" fillId="0" borderId="1" xfId="0" applyNumberFormat="1" applyFont="1" applyBorder="1" applyAlignment="1">
      <alignment horizontal="right"/>
    </xf>
    <xf numFmtId="14" fontId="3" fillId="0" borderId="1" xfId="0" applyNumberFormat="1" applyFont="1" applyBorder="1" applyAlignment="1">
      <alignment horizontal="left"/>
    </xf>
    <xf numFmtId="164" fontId="3" fillId="0" borderId="1" xfId="0" applyNumberFormat="1" applyFont="1" applyBorder="1" applyAlignment="1">
      <alignment horizontal="left"/>
    </xf>
    <xf numFmtId="166" fontId="3" fillId="0" borderId="1" xfId="0" applyNumberFormat="1" applyFont="1" applyBorder="1" applyAlignment="1">
      <alignment horizontal="left"/>
    </xf>
    <xf numFmtId="0" fontId="0" fillId="0" borderId="0" xfId="0" applyNumberFormat="1"/>
    <xf numFmtId="0" fontId="6" fillId="0" borderId="0" xfId="0" applyFont="1" applyBorder="1" applyAlignment="1">
      <alignment horizontal="left" vertical="center"/>
    </xf>
  </cellXfs>
  <cellStyles count="1">
    <cellStyle name="Normal" xfId="0" builtinId="0"/>
  </cellStyles>
  <dxfs count="10">
    <dxf>
      <numFmt numFmtId="164" formatCode="&quot;$&quot;#,##0.00"/>
    </dxf>
    <dxf>
      <numFmt numFmtId="164" formatCode="&quot;$&quot;#,##0.00"/>
    </dxf>
    <dxf>
      <numFmt numFmtId="164" formatCode="&quot;$&quot;#,##0.00"/>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center" textRotation="0" wrapText="1" indent="0" justifyLastLine="0" shrinkToFit="0" readingOrder="0"/>
    </dxf>
    <dxf>
      <border diagonalUp="0" diagonalDown="0" outline="0">
        <left style="thin">
          <color auto="1"/>
        </left>
        <right style="thin">
          <color indexed="64"/>
        </right>
        <top style="thin">
          <color auto="1"/>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9D9D9"/>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by Camp</a:t>
            </a:r>
          </a:p>
        </c:rich>
      </c:tx>
      <c:overlay val="0"/>
    </c:title>
    <c:autoTitleDeleted val="0"/>
    <c:plotArea>
      <c:layout/>
      <c:barChart>
        <c:barDir val="col"/>
        <c:grouping val="clustered"/>
        <c:varyColors val="0"/>
        <c:ser>
          <c:idx val="0"/>
          <c:order val="0"/>
          <c:tx>
            <c:strRef>
              <c:f>'Summary tables'!$B$2</c:f>
              <c:strCache>
                <c:ptCount val="1"/>
                <c:pt idx="0">
                  <c:v>Revenue Sum</c:v>
                </c:pt>
              </c:strCache>
            </c:strRef>
          </c:tx>
          <c:invertIfNegative val="0"/>
          <c:cat>
            <c:strRef>
              <c:f>'Summary tables'!$A$3</c:f>
              <c:strCache>
                <c:ptCount val="1"/>
                <c:pt idx="0">
                  <c:v>Berkshires 2</c:v>
                </c:pt>
              </c:strCache>
            </c:strRef>
          </c:cat>
          <c:val>
            <c:numRef>
              <c:f>'Summary tables'!$B$3</c:f>
              <c:numCache>
                <c:formatCode>"$"#,##0.00</c:formatCode>
                <c:ptCount val="1"/>
                <c:pt idx="0">
                  <c:v>55856</c:v>
                </c:pt>
              </c:numCache>
            </c:numRef>
          </c:val>
          <c:extLst>
            <c:ext xmlns:c16="http://schemas.microsoft.com/office/drawing/2014/chart" uri="{C3380CC4-5D6E-409C-BE32-E72D297353CC}">
              <c16:uniqueId val="{00000000-8D4C-2845-ADB0-7760A56FECF4}"/>
            </c:ext>
          </c:extLst>
        </c:ser>
        <c:ser>
          <c:idx val="1"/>
          <c:order val="1"/>
          <c:tx>
            <c:strRef>
              <c:f>'Summary tables'!$C$2</c:f>
              <c:strCache>
                <c:ptCount val="1"/>
                <c:pt idx="0">
                  <c:v>Total Paid Sum</c:v>
                </c:pt>
              </c:strCache>
            </c:strRef>
          </c:tx>
          <c:invertIfNegative val="0"/>
          <c:cat>
            <c:strRef>
              <c:f>'Summary tables'!$A$3</c:f>
              <c:strCache>
                <c:ptCount val="1"/>
                <c:pt idx="0">
                  <c:v>Berkshires 2</c:v>
                </c:pt>
              </c:strCache>
            </c:strRef>
          </c:cat>
          <c:val>
            <c:numRef>
              <c:f>'Summary tables'!$C$3</c:f>
              <c:numCache>
                <c:formatCode>"$"#,##0.00</c:formatCode>
                <c:ptCount val="1"/>
                <c:pt idx="0">
                  <c:v>44126.159999999989</c:v>
                </c:pt>
              </c:numCache>
            </c:numRef>
          </c:val>
          <c:extLst>
            <c:ext xmlns:c16="http://schemas.microsoft.com/office/drawing/2014/chart" uri="{C3380CC4-5D6E-409C-BE32-E72D297353CC}">
              <c16:uniqueId val="{00000001-8D4C-2845-ADB0-7760A56FECF4}"/>
            </c:ext>
          </c:extLst>
        </c:ser>
        <c:ser>
          <c:idx val="2"/>
          <c:order val="2"/>
          <c:tx>
            <c:strRef>
              <c:f>'Summary tables'!$D$2</c:f>
              <c:strCache>
                <c:ptCount val="1"/>
                <c:pt idx="0">
                  <c:v>Processing &amp; Fees Sum</c:v>
                </c:pt>
              </c:strCache>
            </c:strRef>
          </c:tx>
          <c:invertIfNegative val="0"/>
          <c:cat>
            <c:strRef>
              <c:f>'Summary tables'!$A$3</c:f>
              <c:strCache>
                <c:ptCount val="1"/>
                <c:pt idx="0">
                  <c:v>Berkshires 2</c:v>
                </c:pt>
              </c:strCache>
            </c:strRef>
          </c:cat>
          <c:val>
            <c:numRef>
              <c:f>'Summary tables'!$D$3</c:f>
              <c:numCache>
                <c:formatCode>"$"#,##0.00</c:formatCode>
                <c:ptCount val="1"/>
                <c:pt idx="0">
                  <c:v>1796.4099999999996</c:v>
                </c:pt>
              </c:numCache>
            </c:numRef>
          </c:val>
          <c:extLst>
            <c:ext xmlns:c16="http://schemas.microsoft.com/office/drawing/2014/chart" uri="{C3380CC4-5D6E-409C-BE32-E72D297353CC}">
              <c16:uniqueId val="{00000002-8D4C-2845-ADB0-7760A56FECF4}"/>
            </c:ext>
          </c:extLst>
        </c:ser>
        <c:dLbls>
          <c:showLegendKey val="0"/>
          <c:showVal val="0"/>
          <c:showCatName val="0"/>
          <c:showSerName val="0"/>
          <c:showPercent val="0"/>
          <c:showBubbleSize val="0"/>
        </c:dLbls>
        <c:gapWidth val="150"/>
        <c:axId val="659278912"/>
        <c:axId val="458625856"/>
      </c:barChart>
      <c:catAx>
        <c:axId val="659278912"/>
        <c:scaling>
          <c:orientation val="minMax"/>
        </c:scaling>
        <c:delete val="0"/>
        <c:axPos val="b"/>
        <c:numFmt formatCode="General" sourceLinked="1"/>
        <c:majorTickMark val="out"/>
        <c:minorTickMark val="none"/>
        <c:tickLblPos val="nextTo"/>
        <c:crossAx val="458625856"/>
        <c:crosses val="autoZero"/>
        <c:auto val="1"/>
        <c:lblAlgn val="ctr"/>
        <c:lblOffset val="100"/>
        <c:noMultiLvlLbl val="0"/>
      </c:catAx>
      <c:valAx>
        <c:axId val="458625856"/>
        <c:scaling>
          <c:orientation val="minMax"/>
        </c:scaling>
        <c:delete val="0"/>
        <c:axPos val="l"/>
        <c:majorGridlines/>
        <c:numFmt formatCode="&quot;$&quot;#,##0" sourceLinked="0"/>
        <c:majorTickMark val="out"/>
        <c:minorTickMark val="none"/>
        <c:tickLblPos val="nextTo"/>
        <c:crossAx val="659278912"/>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Camp by Age Counts</a:t>
            </a:r>
          </a:p>
        </c:rich>
      </c:tx>
      <c:overlay val="0"/>
    </c:title>
    <c:autoTitleDeleted val="0"/>
    <c:plotArea>
      <c:layout/>
      <c:lineChart>
        <c:grouping val="standard"/>
        <c:varyColors val="0"/>
        <c:ser>
          <c:idx val="0"/>
          <c:order val="0"/>
          <c:tx>
            <c:v>Berkshires 2</c:v>
          </c:tx>
          <c:marker>
            <c:symbol val="none"/>
          </c:marker>
          <c:cat>
            <c:strRef>
              <c:f>'Summary tables'!$B$8:$T$8</c:f>
              <c:strCache>
                <c:ptCount val="19"/>
                <c:pt idx="0">
                  <c:v>31</c:v>
                </c:pt>
                <c:pt idx="1">
                  <c:v>34</c:v>
                </c:pt>
                <c:pt idx="2">
                  <c:v>24</c:v>
                </c:pt>
                <c:pt idx="3">
                  <c:v>33</c:v>
                </c:pt>
                <c:pt idx="4">
                  <c:v>27</c:v>
                </c:pt>
                <c:pt idx="5">
                  <c:v>37</c:v>
                </c:pt>
                <c:pt idx="6">
                  <c:v>36</c:v>
                </c:pt>
                <c:pt idx="7">
                  <c:v>30</c:v>
                </c:pt>
                <c:pt idx="8">
                  <c:v>35</c:v>
                </c:pt>
                <c:pt idx="9">
                  <c:v>38</c:v>
                </c:pt>
                <c:pt idx="10">
                  <c:v>32</c:v>
                </c:pt>
                <c:pt idx="11">
                  <c:v>39</c:v>
                </c:pt>
                <c:pt idx="12">
                  <c:v>29</c:v>
                </c:pt>
                <c:pt idx="13">
                  <c:v>23</c:v>
                </c:pt>
                <c:pt idx="14">
                  <c:v>26</c:v>
                </c:pt>
                <c:pt idx="15">
                  <c:v>28</c:v>
                </c:pt>
                <c:pt idx="16">
                  <c:v>41</c:v>
                </c:pt>
                <c:pt idx="17">
                  <c:v>42</c:v>
                </c:pt>
                <c:pt idx="18">
                  <c:v>40</c:v>
                </c:pt>
              </c:strCache>
            </c:strRef>
          </c:cat>
          <c:val>
            <c:numRef>
              <c:f>'Summary tables'!$B$9:$T$9</c:f>
              <c:numCache>
                <c:formatCode>General</c:formatCode>
                <c:ptCount val="19"/>
                <c:pt idx="0">
                  <c:v>3</c:v>
                </c:pt>
                <c:pt idx="1">
                  <c:v>6</c:v>
                </c:pt>
                <c:pt idx="2">
                  <c:v>2</c:v>
                </c:pt>
                <c:pt idx="3">
                  <c:v>6</c:v>
                </c:pt>
                <c:pt idx="4">
                  <c:v>5</c:v>
                </c:pt>
                <c:pt idx="5">
                  <c:v>7</c:v>
                </c:pt>
                <c:pt idx="6">
                  <c:v>4</c:v>
                </c:pt>
                <c:pt idx="7">
                  <c:v>10</c:v>
                </c:pt>
                <c:pt idx="8">
                  <c:v>7</c:v>
                </c:pt>
                <c:pt idx="9">
                  <c:v>8</c:v>
                </c:pt>
                <c:pt idx="10">
                  <c:v>5</c:v>
                </c:pt>
                <c:pt idx="11">
                  <c:v>3</c:v>
                </c:pt>
                <c:pt idx="12">
                  <c:v>7</c:v>
                </c:pt>
                <c:pt idx="13">
                  <c:v>1</c:v>
                </c:pt>
                <c:pt idx="14">
                  <c:v>5</c:v>
                </c:pt>
                <c:pt idx="15">
                  <c:v>2</c:v>
                </c:pt>
                <c:pt idx="16">
                  <c:v>1</c:v>
                </c:pt>
                <c:pt idx="17">
                  <c:v>1</c:v>
                </c:pt>
                <c:pt idx="18">
                  <c:v>1</c:v>
                </c:pt>
              </c:numCache>
            </c:numRef>
          </c:val>
          <c:smooth val="0"/>
          <c:extLst>
            <c:ext xmlns:c16="http://schemas.microsoft.com/office/drawing/2014/chart" uri="{C3380CC4-5D6E-409C-BE32-E72D297353CC}">
              <c16:uniqueId val="{00000000-657E-F44D-A968-0CEDF97BC3D7}"/>
            </c:ext>
          </c:extLst>
        </c:ser>
        <c:dLbls>
          <c:showLegendKey val="0"/>
          <c:showVal val="0"/>
          <c:showCatName val="0"/>
          <c:showSerName val="0"/>
          <c:showPercent val="0"/>
          <c:showBubbleSize val="0"/>
        </c:dLbls>
        <c:smooth val="0"/>
        <c:axId val="458114816"/>
        <c:axId val="458126016"/>
      </c:lineChart>
      <c:catAx>
        <c:axId val="458114816"/>
        <c:scaling>
          <c:orientation val="minMax"/>
        </c:scaling>
        <c:delete val="0"/>
        <c:axPos val="b"/>
        <c:title>
          <c:tx>
            <c:rich>
              <a:bodyPr/>
              <a:lstStyle/>
              <a:p>
                <a:pPr>
                  <a:defRPr/>
                </a:pPr>
                <a:r>
                  <a:rPr lang="en-US"/>
                  <a:t>Age</a:t>
                </a:r>
              </a:p>
            </c:rich>
          </c:tx>
          <c:overlay val="0"/>
        </c:title>
        <c:numFmt formatCode="General" sourceLinked="1"/>
        <c:majorTickMark val="out"/>
        <c:minorTickMark val="none"/>
        <c:tickLblPos val="nextTo"/>
        <c:crossAx val="458126016"/>
        <c:crosses val="autoZero"/>
        <c:auto val="1"/>
        <c:lblAlgn val="ctr"/>
        <c:lblOffset val="100"/>
        <c:noMultiLvlLbl val="0"/>
      </c:catAx>
      <c:valAx>
        <c:axId val="458126016"/>
        <c:scaling>
          <c:orientation val="minMax"/>
        </c:scaling>
        <c:delete val="0"/>
        <c:axPos val="l"/>
        <c:majorGridlines/>
        <c:title>
          <c:tx>
            <c:rich>
              <a:bodyPr/>
              <a:lstStyle/>
              <a:p>
                <a:pPr>
                  <a:defRPr/>
                </a:pPr>
                <a:r>
                  <a:rPr lang="en-US"/>
                  <a:t>Count of Campers</a:t>
                </a:r>
              </a:p>
            </c:rich>
          </c:tx>
          <c:overlay val="0"/>
        </c:title>
        <c:numFmt formatCode="General" sourceLinked="1"/>
        <c:majorTickMark val="out"/>
        <c:minorTickMark val="none"/>
        <c:tickLblPos val="nextTo"/>
        <c:crossAx val="458114816"/>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Background by Camp</a:t>
            </a:r>
          </a:p>
        </c:rich>
      </c:tx>
      <c:overlay val="0"/>
    </c:title>
    <c:autoTitleDeleted val="0"/>
    <c:plotArea>
      <c:layout/>
      <c:barChart>
        <c:barDir val="col"/>
        <c:grouping val="stacked"/>
        <c:varyColors val="0"/>
        <c:ser>
          <c:idx val="0"/>
          <c:order val="0"/>
          <c:tx>
            <c:strRef>
              <c:f>'Summary tables'!$B$14</c:f>
              <c:strCache>
                <c:ptCount val="1"/>
                <c:pt idx="0">
                  <c:v>Conservative</c:v>
                </c:pt>
              </c:strCache>
            </c:strRef>
          </c:tx>
          <c:invertIfNegative val="0"/>
          <c:cat>
            <c:strRef>
              <c:f>'Summary tables'!$A$15</c:f>
              <c:strCache>
                <c:ptCount val="1"/>
                <c:pt idx="0">
                  <c:v>Berkshires 2</c:v>
                </c:pt>
              </c:strCache>
            </c:strRef>
          </c:cat>
          <c:val>
            <c:numRef>
              <c:f>'Summary tables'!$B$15</c:f>
              <c:numCache>
                <c:formatCode>General</c:formatCode>
                <c:ptCount val="1"/>
                <c:pt idx="0">
                  <c:v>25</c:v>
                </c:pt>
              </c:numCache>
            </c:numRef>
          </c:val>
          <c:extLst>
            <c:ext xmlns:c16="http://schemas.microsoft.com/office/drawing/2014/chart" uri="{C3380CC4-5D6E-409C-BE32-E72D297353CC}">
              <c16:uniqueId val="{00000000-3FF1-2F45-B2B8-177FF5987F50}"/>
            </c:ext>
          </c:extLst>
        </c:ser>
        <c:ser>
          <c:idx val="1"/>
          <c:order val="1"/>
          <c:tx>
            <c:strRef>
              <c:f>'Summary tables'!$C$14</c:f>
              <c:strCache>
                <c:ptCount val="1"/>
                <c:pt idx="0">
                  <c:v>Just Jewish</c:v>
                </c:pt>
              </c:strCache>
            </c:strRef>
          </c:tx>
          <c:invertIfNegative val="0"/>
          <c:cat>
            <c:strRef>
              <c:f>'Summary tables'!$A$15</c:f>
              <c:strCache>
                <c:ptCount val="1"/>
                <c:pt idx="0">
                  <c:v>Berkshires 2</c:v>
                </c:pt>
              </c:strCache>
            </c:strRef>
          </c:cat>
          <c:val>
            <c:numRef>
              <c:f>'Summary tables'!$C$15</c:f>
              <c:numCache>
                <c:formatCode>General</c:formatCode>
                <c:ptCount val="1"/>
                <c:pt idx="0">
                  <c:v>18</c:v>
                </c:pt>
              </c:numCache>
            </c:numRef>
          </c:val>
          <c:extLst>
            <c:ext xmlns:c16="http://schemas.microsoft.com/office/drawing/2014/chart" uri="{C3380CC4-5D6E-409C-BE32-E72D297353CC}">
              <c16:uniqueId val="{00000001-3FF1-2F45-B2B8-177FF5987F50}"/>
            </c:ext>
          </c:extLst>
        </c:ser>
        <c:ser>
          <c:idx val="2"/>
          <c:order val="2"/>
          <c:tx>
            <c:strRef>
              <c:f>'Summary tables'!$D$14</c:f>
              <c:strCache>
                <c:ptCount val="1"/>
                <c:pt idx="0">
                  <c:v>Culturally Jewish</c:v>
                </c:pt>
              </c:strCache>
            </c:strRef>
          </c:tx>
          <c:invertIfNegative val="0"/>
          <c:cat>
            <c:strRef>
              <c:f>'Summary tables'!$A$15</c:f>
              <c:strCache>
                <c:ptCount val="1"/>
                <c:pt idx="0">
                  <c:v>Berkshires 2</c:v>
                </c:pt>
              </c:strCache>
            </c:strRef>
          </c:cat>
          <c:val>
            <c:numRef>
              <c:f>'Summary tables'!$D$15</c:f>
              <c:numCache>
                <c:formatCode>General</c:formatCode>
                <c:ptCount val="1"/>
                <c:pt idx="0">
                  <c:v>19</c:v>
                </c:pt>
              </c:numCache>
            </c:numRef>
          </c:val>
          <c:extLst>
            <c:ext xmlns:c16="http://schemas.microsoft.com/office/drawing/2014/chart" uri="{C3380CC4-5D6E-409C-BE32-E72D297353CC}">
              <c16:uniqueId val="{00000002-3FF1-2F45-B2B8-177FF5987F50}"/>
            </c:ext>
          </c:extLst>
        </c:ser>
        <c:ser>
          <c:idx val="3"/>
          <c:order val="3"/>
          <c:tx>
            <c:strRef>
              <c:f>'Summary tables'!$E$14</c:f>
              <c:strCache>
                <c:ptCount val="1"/>
                <c:pt idx="0">
                  <c:v>Reform</c:v>
                </c:pt>
              </c:strCache>
            </c:strRef>
          </c:tx>
          <c:invertIfNegative val="0"/>
          <c:cat>
            <c:strRef>
              <c:f>'Summary tables'!$A$15</c:f>
              <c:strCache>
                <c:ptCount val="1"/>
                <c:pt idx="0">
                  <c:v>Berkshires 2</c:v>
                </c:pt>
              </c:strCache>
            </c:strRef>
          </c:cat>
          <c:val>
            <c:numRef>
              <c:f>'Summary tables'!$E$15</c:f>
              <c:numCache>
                <c:formatCode>General</c:formatCode>
                <c:ptCount val="1"/>
                <c:pt idx="0">
                  <c:v>19</c:v>
                </c:pt>
              </c:numCache>
            </c:numRef>
          </c:val>
          <c:extLst>
            <c:ext xmlns:c16="http://schemas.microsoft.com/office/drawing/2014/chart" uri="{C3380CC4-5D6E-409C-BE32-E72D297353CC}">
              <c16:uniqueId val="{00000003-3FF1-2F45-B2B8-177FF5987F50}"/>
            </c:ext>
          </c:extLst>
        </c:ser>
        <c:ser>
          <c:idx val="4"/>
          <c:order val="4"/>
          <c:tx>
            <c:strRef>
              <c:f>'Summary tables'!$F$14</c:f>
              <c:strCache>
                <c:ptCount val="1"/>
                <c:pt idx="0">
                  <c:v>I'm not Jewish</c:v>
                </c:pt>
              </c:strCache>
            </c:strRef>
          </c:tx>
          <c:invertIfNegative val="0"/>
          <c:cat>
            <c:strRef>
              <c:f>'Summary tables'!$A$15</c:f>
              <c:strCache>
                <c:ptCount val="1"/>
                <c:pt idx="0">
                  <c:v>Berkshires 2</c:v>
                </c:pt>
              </c:strCache>
            </c:strRef>
          </c:cat>
          <c:val>
            <c:numRef>
              <c:f>'Summary tables'!$F$15</c:f>
              <c:numCache>
                <c:formatCode>General</c:formatCode>
                <c:ptCount val="1"/>
                <c:pt idx="0">
                  <c:v>2</c:v>
                </c:pt>
              </c:numCache>
            </c:numRef>
          </c:val>
          <c:extLst>
            <c:ext xmlns:c16="http://schemas.microsoft.com/office/drawing/2014/chart" uri="{C3380CC4-5D6E-409C-BE32-E72D297353CC}">
              <c16:uniqueId val="{00000004-3FF1-2F45-B2B8-177FF5987F50}"/>
            </c:ext>
          </c:extLst>
        </c:ser>
        <c:dLbls>
          <c:showLegendKey val="0"/>
          <c:showVal val="0"/>
          <c:showCatName val="0"/>
          <c:showSerName val="0"/>
          <c:showPercent val="0"/>
          <c:showBubbleSize val="0"/>
        </c:dLbls>
        <c:gapWidth val="150"/>
        <c:overlap val="100"/>
        <c:axId val="611362880"/>
        <c:axId val="611367360"/>
      </c:barChart>
      <c:catAx>
        <c:axId val="611362880"/>
        <c:scaling>
          <c:orientation val="minMax"/>
        </c:scaling>
        <c:delete val="0"/>
        <c:axPos val="b"/>
        <c:numFmt formatCode="General" sourceLinked="1"/>
        <c:majorTickMark val="out"/>
        <c:minorTickMark val="none"/>
        <c:tickLblPos val="nextTo"/>
        <c:crossAx val="611367360"/>
        <c:crosses val="autoZero"/>
        <c:auto val="1"/>
        <c:lblAlgn val="ctr"/>
        <c:lblOffset val="100"/>
        <c:noMultiLvlLbl val="0"/>
      </c:catAx>
      <c:valAx>
        <c:axId val="611367360"/>
        <c:scaling>
          <c:orientation val="minMax"/>
        </c:scaling>
        <c:delete val="0"/>
        <c:axPos val="l"/>
        <c:majorGridlines/>
        <c:numFmt formatCode="#,##0" sourceLinked="0"/>
        <c:majorTickMark val="out"/>
        <c:minorTickMark val="none"/>
        <c:tickLblPos val="nextTo"/>
        <c:crossAx val="611362880"/>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Camps Attended Before by Camp</a:t>
            </a:r>
          </a:p>
        </c:rich>
      </c:tx>
      <c:overlay val="0"/>
    </c:title>
    <c:autoTitleDeleted val="0"/>
    <c:plotArea>
      <c:layout/>
      <c:barChart>
        <c:barDir val="col"/>
        <c:grouping val="stacked"/>
        <c:varyColors val="0"/>
        <c:ser>
          <c:idx val="0"/>
          <c:order val="0"/>
          <c:tx>
            <c:strRef>
              <c:f>'Summary tables'!$A$21</c:f>
              <c:strCache>
                <c:ptCount val="1"/>
                <c:pt idx="0">
                  <c:v>Berkshires 2</c:v>
                </c:pt>
              </c:strCache>
            </c:strRef>
          </c:tx>
          <c:invertIfNegative val="0"/>
          <c:cat>
            <c:strRef>
              <c:f>'Summary tables'!$B$20:$Z$20</c:f>
              <c:strCache>
                <c:ptCount val="25"/>
                <c:pt idx="0">
                  <c:v>Berkshires 2017</c:v>
                </c:pt>
                <c:pt idx="1">
                  <c:v>Berkshires 2018</c:v>
                </c:pt>
                <c:pt idx="2">
                  <c:v>Berkshires 2019</c:v>
                </c:pt>
                <c:pt idx="3">
                  <c:v>Berkshires 2021</c:v>
                </c:pt>
                <c:pt idx="4">
                  <c:v>Berkshires 2022 Session 1</c:v>
                </c:pt>
                <c:pt idx="5">
                  <c:v>Berkshires 2022 Session 2</c:v>
                </c:pt>
                <c:pt idx="6">
                  <c:v>Berkshires 2023 Session 1</c:v>
                </c:pt>
                <c:pt idx="7">
                  <c:v>Berkshires 2023 Session 2</c:v>
                </c:pt>
                <c:pt idx="8">
                  <c:v>SoCal 2017</c:v>
                </c:pt>
                <c:pt idx="9">
                  <c:v>SoCal 2018</c:v>
                </c:pt>
                <c:pt idx="10">
                  <c:v>SoCal 2019</c:v>
                </c:pt>
                <c:pt idx="11">
                  <c:v>SoCal 2021</c:v>
                </c:pt>
                <c:pt idx="12">
                  <c:v>SoCal 2022</c:v>
                </c:pt>
                <c:pt idx="13">
                  <c:v>SoCal 2023</c:v>
                </c:pt>
                <c:pt idx="14">
                  <c:v>Midwest 2018</c:v>
                </c:pt>
                <c:pt idx="15">
                  <c:v>Midwest 2019</c:v>
                </c:pt>
                <c:pt idx="16">
                  <c:v>Midwest 2022</c:v>
                </c:pt>
                <c:pt idx="17">
                  <c:v>Midwest 2023</c:v>
                </c:pt>
                <c:pt idx="18">
                  <c:v>Chicago Day Camp 2021</c:v>
                </c:pt>
                <c:pt idx="19">
                  <c:v>Chicago Day Camp 2023</c:v>
                </c:pt>
                <c:pt idx="20">
                  <c:v>Seattle Day Camp 2021</c:v>
                </c:pt>
                <c:pt idx="21">
                  <c:v>Atlanta Day Camp 2021</c:v>
                </c:pt>
                <c:pt idx="22">
                  <c:v>South 2022</c:v>
                </c:pt>
                <c:pt idx="23">
                  <c:v>LA Day Camp 2022</c:v>
                </c:pt>
                <c:pt idx="24">
                  <c:v>LA Day Camp 2023</c:v>
                </c:pt>
              </c:strCache>
            </c:strRef>
          </c:cat>
          <c:val>
            <c:numRef>
              <c:f>'Summary tables'!$B$21:$Z$21</c:f>
              <c:numCache>
                <c:formatCode>General</c:formatCode>
                <c:ptCount val="25"/>
                <c:pt idx="0">
                  <c:v>2</c:v>
                </c:pt>
                <c:pt idx="1">
                  <c:v>4</c:v>
                </c:pt>
                <c:pt idx="2">
                  <c:v>5</c:v>
                </c:pt>
                <c:pt idx="3">
                  <c:v>7</c:v>
                </c:pt>
                <c:pt idx="4">
                  <c:v>7</c:v>
                </c:pt>
                <c:pt idx="5">
                  <c:v>6</c:v>
                </c:pt>
                <c:pt idx="6">
                  <c:v>17</c:v>
                </c:pt>
                <c:pt idx="7">
                  <c:v>19</c:v>
                </c:pt>
                <c:pt idx="8">
                  <c:v>0</c:v>
                </c:pt>
                <c:pt idx="9">
                  <c:v>0</c:v>
                </c:pt>
                <c:pt idx="10">
                  <c:v>0</c:v>
                </c:pt>
                <c:pt idx="11">
                  <c:v>1</c:v>
                </c:pt>
                <c:pt idx="12">
                  <c:v>0</c:v>
                </c:pt>
                <c:pt idx="13">
                  <c:v>0</c:v>
                </c:pt>
                <c:pt idx="14">
                  <c:v>0</c:v>
                </c:pt>
                <c:pt idx="15">
                  <c:v>0</c:v>
                </c:pt>
                <c:pt idx="16">
                  <c:v>4</c:v>
                </c:pt>
                <c:pt idx="17">
                  <c:v>1</c:v>
                </c:pt>
                <c:pt idx="18">
                  <c:v>1</c:v>
                </c:pt>
                <c:pt idx="19">
                  <c:v>2</c:v>
                </c:pt>
                <c:pt idx="20">
                  <c:v>0</c:v>
                </c:pt>
                <c:pt idx="21">
                  <c:v>0</c:v>
                </c:pt>
                <c:pt idx="22">
                  <c:v>1</c:v>
                </c:pt>
                <c:pt idx="23">
                  <c:v>0</c:v>
                </c:pt>
                <c:pt idx="24">
                  <c:v>0</c:v>
                </c:pt>
              </c:numCache>
            </c:numRef>
          </c:val>
          <c:extLst>
            <c:ext xmlns:c16="http://schemas.microsoft.com/office/drawing/2014/chart" uri="{C3380CC4-5D6E-409C-BE32-E72D297353CC}">
              <c16:uniqueId val="{00000000-92E6-1847-8B62-FC657F2B817B}"/>
            </c:ext>
          </c:extLst>
        </c:ser>
        <c:dLbls>
          <c:showLegendKey val="0"/>
          <c:showVal val="0"/>
          <c:showCatName val="0"/>
          <c:showSerName val="0"/>
          <c:showPercent val="0"/>
          <c:showBubbleSize val="0"/>
        </c:dLbls>
        <c:gapWidth val="150"/>
        <c:overlap val="100"/>
        <c:axId val="577696448"/>
        <c:axId val="458000128"/>
      </c:barChart>
      <c:catAx>
        <c:axId val="577696448"/>
        <c:scaling>
          <c:orientation val="minMax"/>
        </c:scaling>
        <c:delete val="0"/>
        <c:axPos val="b"/>
        <c:numFmt formatCode="General" sourceLinked="1"/>
        <c:majorTickMark val="out"/>
        <c:minorTickMark val="none"/>
        <c:tickLblPos val="nextTo"/>
        <c:crossAx val="458000128"/>
        <c:crosses val="autoZero"/>
        <c:auto val="1"/>
        <c:lblAlgn val="ctr"/>
        <c:lblOffset val="100"/>
        <c:noMultiLvlLbl val="0"/>
      </c:catAx>
      <c:valAx>
        <c:axId val="458000128"/>
        <c:scaling>
          <c:orientation val="minMax"/>
        </c:scaling>
        <c:delete val="0"/>
        <c:axPos val="l"/>
        <c:majorGridlines/>
        <c:numFmt formatCode="#,##0" sourceLinked="0"/>
        <c:majorTickMark val="out"/>
        <c:minorTickMark val="none"/>
        <c:tickLblPos val="nextTo"/>
        <c:crossAx val="577696448"/>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hyperlink" Target="https://www.trybalgatherings.com/" TargetMode="Externa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635000</xdr:colOff>
      <xdr:row>6</xdr:row>
      <xdr:rowOff>25400</xdr:rowOff>
    </xdr:from>
    <xdr:to>
      <xdr:col>6</xdr:col>
      <xdr:colOff>647700</xdr:colOff>
      <xdr:row>33</xdr:row>
      <xdr:rowOff>12700</xdr:rowOff>
    </xdr:to>
    <xdr:graphicFrame macro="">
      <xdr:nvGraphicFramePr>
        <xdr:cNvPr id="2" name="Chart 1">
          <a:extLst>
            <a:ext uri="{FF2B5EF4-FFF2-40B4-BE49-F238E27FC236}">
              <a16:creationId xmlns:a16="http://schemas.microsoft.com/office/drawing/2014/main" id="{C89F6460-E778-A8E9-3637-D284C37E1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xdr:colOff>
      <xdr:row>6</xdr:row>
      <xdr:rowOff>25400</xdr:rowOff>
    </xdr:from>
    <xdr:to>
      <xdr:col>19</xdr:col>
      <xdr:colOff>101600</xdr:colOff>
      <xdr:row>33</xdr:row>
      <xdr:rowOff>12700</xdr:rowOff>
    </xdr:to>
    <xdr:graphicFrame macro="">
      <xdr:nvGraphicFramePr>
        <xdr:cNvPr id="3" name="Chart 2">
          <a:extLst>
            <a:ext uri="{FF2B5EF4-FFF2-40B4-BE49-F238E27FC236}">
              <a16:creationId xmlns:a16="http://schemas.microsoft.com/office/drawing/2014/main" id="{A3FA40E7-1F47-5E6B-A2D5-37188F831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635000</xdr:colOff>
      <xdr:row>34</xdr:row>
      <xdr:rowOff>101600</xdr:rowOff>
    </xdr:from>
    <xdr:to>
      <xdr:col>19</xdr:col>
      <xdr:colOff>101600</xdr:colOff>
      <xdr:row>65</xdr:row>
      <xdr:rowOff>63500</xdr:rowOff>
    </xdr:to>
    <xdr:graphicFrame macro="">
      <xdr:nvGraphicFramePr>
        <xdr:cNvPr id="4" name="Chart 3">
          <a:extLst>
            <a:ext uri="{FF2B5EF4-FFF2-40B4-BE49-F238E27FC236}">
              <a16:creationId xmlns:a16="http://schemas.microsoft.com/office/drawing/2014/main" id="{1B5BAA3B-7D46-7984-87D9-51B8F6D50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635000</xdr:colOff>
      <xdr:row>66</xdr:row>
      <xdr:rowOff>152400</xdr:rowOff>
    </xdr:from>
    <xdr:to>
      <xdr:col>19</xdr:col>
      <xdr:colOff>190500</xdr:colOff>
      <xdr:row>97</xdr:row>
      <xdr:rowOff>114300</xdr:rowOff>
    </xdr:to>
    <xdr:graphicFrame macro="">
      <xdr:nvGraphicFramePr>
        <xdr:cNvPr id="5" name="Chart 4">
          <a:extLst>
            <a:ext uri="{FF2B5EF4-FFF2-40B4-BE49-F238E27FC236}">
              <a16:creationId xmlns:a16="http://schemas.microsoft.com/office/drawing/2014/main" id="{DF0664C8-2BA9-F53C-C082-EC0A2CB47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76200</xdr:colOff>
      <xdr:row>0</xdr:row>
      <xdr:rowOff>25400</xdr:rowOff>
    </xdr:from>
    <xdr:to>
      <xdr:col>3</xdr:col>
      <xdr:colOff>254000</xdr:colOff>
      <xdr:row>5</xdr:row>
      <xdr:rowOff>12700</xdr:rowOff>
    </xdr:to>
    <xdr:pic>
      <xdr:nvPicPr>
        <xdr:cNvPr id="7" name="TrybalLogo_Main">
          <a:hlinkClick xmlns:r="http://schemas.openxmlformats.org/officeDocument/2006/relationships" r:id="rId5"/>
          <a:extLst>
            <a:ext uri="{FF2B5EF4-FFF2-40B4-BE49-F238E27FC236}">
              <a16:creationId xmlns:a16="http://schemas.microsoft.com/office/drawing/2014/main" id="{2E60BC2C-2181-74AF-950B-D157B7B1A55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6200" y="25400"/>
          <a:ext cx="2654300" cy="977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8</xdr:col>
      <xdr:colOff>762000</xdr:colOff>
      <xdr:row>4</xdr:row>
      <xdr:rowOff>38100</xdr:rowOff>
    </xdr:to>
    <xdr:sp macro="" textlink="">
      <xdr:nvSpPr>
        <xdr:cNvPr id="2" name="PivotHelpBox">
          <a:extLst>
            <a:ext uri="{FF2B5EF4-FFF2-40B4-BE49-F238E27FC236}">
              <a16:creationId xmlns:a16="http://schemas.microsoft.com/office/drawing/2014/main" id="{7F452A53-BC6E-6C25-7480-C4BD94A83B0F}"/>
            </a:ext>
          </a:extLst>
        </xdr:cNvPr>
        <xdr:cNvSpPr txBox="1"/>
      </xdr:nvSpPr>
      <xdr:spPr>
        <a:xfrm>
          <a:off x="7213600" y="0"/>
          <a:ext cx="4064000" cy="762000"/>
        </a:xfrm>
        <a:prstGeom prst="rect">
          <a:avLst/>
        </a:prstGeom>
        <a:solidFill>
          <a:srgbClr val="FFF2CC"/>
        </a:solidFill>
        <a:ln w="9525" cmpd="sng">
          <a:solidFill>
            <a:srgbClr val="BF9000"/>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400" b="1"/>
            <a:t>Tip: Right-click inside the PivotTable and select 'Show Field List' to add or change fields.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llel Morris" refreshedDate="46076.48363263889" createdVersion="8" refreshedVersion="8" minRefreshableVersion="3" recordCount="84" xr:uid="{4FD7AA4E-16C4-7D4E-8CED-C95FBC6751E3}">
  <cacheSource type="worksheet">
    <worksheetSource ref="A1:CF85" sheet="Data"/>
  </cacheSource>
  <cacheFields count="84">
    <cacheField name="Camp" numFmtId="0">
      <sharedItems count="1">
        <s v="Berkshires 2"/>
      </sharedItems>
    </cacheField>
    <cacheField name="Registration ID" numFmtId="0">
      <sharedItems containsSemiMixedTypes="0" containsString="0" containsNumber="1" containsInteger="1" minValue="46905707" maxValue="50166230"/>
    </cacheField>
    <cacheField name="Registration Date" numFmtId="22">
      <sharedItems containsSemiMixedTypes="0" containsNonDate="0" containsDate="1" containsString="0" minDate="2024-03-25T12:14:00" maxDate="2024-07-06T00:09:00"/>
    </cacheField>
    <cacheField name="Name (Last Name)" numFmtId="0">
      <sharedItems/>
    </cacheField>
    <cacheField name="Tickets" numFmtId="0">
      <sharedItems/>
    </cacheField>
    <cacheField name="Coupon Code (Code)" numFmtId="0">
      <sharedItems containsBlank="1"/>
    </cacheField>
    <cacheField name="Revenue" numFmtId="164">
      <sharedItems containsSemiMixedTypes="0" containsString="0" containsNumber="1" containsInteger="1" minValue="0" maxValue="925"/>
    </cacheField>
    <cacheField name="Total Paid ($ Amount)" numFmtId="164">
      <sharedItems containsSemiMixedTypes="0" containsString="0" containsNumber="1" minValue="0" maxValue="1254.42"/>
    </cacheField>
    <cacheField name="Processing &amp; Fees ($ Amount)" numFmtId="164">
      <sharedItems containsSemiMixedTypes="0" containsString="0" containsNumber="1" minValue="0" maxValue="56.42"/>
    </cacheField>
    <cacheField name="Gender" numFmtId="0">
      <sharedItems/>
    </cacheField>
    <cacheField name="Date of Birth" numFmtId="0">
      <sharedItems containsSemiMixedTypes="0" containsNonDate="0" containsDate="1" containsString="0" minDate="1982-01-21T00:00:00" maxDate="2000-07-06T00:00:00"/>
    </cacheField>
    <cacheField name="Age" numFmtId="0">
      <sharedItems containsSemiMixedTypes="0" containsString="0" containsNumber="1" containsInteger="1" minValue="23" maxValue="42"/>
    </cacheField>
    <cacheField name="Address (City)" numFmtId="0">
      <sharedItems/>
    </cacheField>
    <cacheField name="Address (State)" numFmtId="0">
      <sharedItems/>
    </cacheField>
    <cacheField name="Address (ZIP/Postal Code)" numFmtId="0">
      <sharedItems containsMixedTypes="1" containsNumber="1" containsInteger="1" minValue="1701" maxValue="98103"/>
    </cacheField>
    <cacheField name="Address (Country)" numFmtId="0">
      <sharedItems/>
    </cacheField>
    <cacheField name="I confirm that all attendees registered under this order are over the age of 21 and will bring proof of age (government-issued Photo ID) to check-in at camp." numFmtId="0">
      <sharedItems/>
    </cacheField>
    <cacheField name="T-Shirt Size" numFmtId="0">
      <sharedItems/>
    </cacheField>
    <cacheField name="Do you have any dietary restrictions? (None)" numFmtId="0">
      <sharedItems/>
    </cacheField>
    <cacheField name="Please explain" numFmtId="0">
      <sharedItems containsBlank="1"/>
    </cacheField>
    <cacheField name="Do you have a cabin preference?" numFmtId="0">
      <sharedItems containsBlank="1"/>
    </cacheField>
    <cacheField name="Do you have a roommate request?" numFmtId="0">
      <sharedItems containsBlank="1"/>
    </cacheField>
    <cacheField name="Please list their full name" numFmtId="0">
      <sharedItems containsBlank="1"/>
    </cacheField>
    <cacheField name="Do you have any bunkmate requests? Please list their name(s)" numFmtId="0">
      <sharedItems containsBlank="1" longText="1"/>
    </cacheField>
    <cacheField name="What's your Jewish background?" numFmtId="0">
      <sharedItems containsBlank="1"/>
    </cacheField>
    <cacheField name="What brings you to Trybal?" numFmtId="0">
      <sharedItems containsBlank="1"/>
    </cacheField>
    <cacheField name="Have you attended any Trybal Gatherings events in the past? (Yes, Trybal camps)" numFmtId="0">
      <sharedItems containsBlank="1"/>
    </cacheField>
    <cacheField name="Have you attended any Trybal Gatherings events in the past? (Yes, Trybal events)" numFmtId="0">
      <sharedItems containsBlank="1"/>
    </cacheField>
    <cacheField name="Have you attended any Trybal Gatherings events in the past? (Yes, Ambassador events)" numFmtId="0">
      <sharedItems containsBlank="1"/>
    </cacheField>
    <cacheField name="Is this your first time at a Trybal Gathering experience?" numFmtId="0">
      <sharedItems containsBlank="1"/>
    </cacheField>
    <cacheField name="Which camps? (Berkshires 2017)" numFmtId="0">
      <sharedItems containsBlank="1"/>
    </cacheField>
    <cacheField name="Which camps? (Berkshires 2018)" numFmtId="0">
      <sharedItems containsBlank="1"/>
    </cacheField>
    <cacheField name="Which camps? (Berkshires 2019)" numFmtId="0">
      <sharedItems containsBlank="1"/>
    </cacheField>
    <cacheField name="Which camps? (Berkshires 2021)" numFmtId="0">
      <sharedItems containsBlank="1"/>
    </cacheField>
    <cacheField name="Which camps? (Berkshires 2022 Session 1)" numFmtId="0">
      <sharedItems containsBlank="1"/>
    </cacheField>
    <cacheField name="Which camps? (Berkshires 2022 Session 2)" numFmtId="0">
      <sharedItems containsBlank="1"/>
    </cacheField>
    <cacheField name="Which camps? (Berkshires 2023 Session 1)" numFmtId="0">
      <sharedItems containsBlank="1"/>
    </cacheField>
    <cacheField name="Which camps? (Berkshires 2023 Session 2)" numFmtId="0">
      <sharedItems containsBlank="1"/>
    </cacheField>
    <cacheField name="Which camps? (SoCal 2017)" numFmtId="0">
      <sharedItems containsNonDate="0" containsString="0" containsBlank="1"/>
    </cacheField>
    <cacheField name="Which camps? (SoCal 2018)" numFmtId="0">
      <sharedItems containsNonDate="0" containsString="0" containsBlank="1"/>
    </cacheField>
    <cacheField name="Which camps? (SoCal 2019)" numFmtId="0">
      <sharedItems containsNonDate="0" containsString="0" containsBlank="1"/>
    </cacheField>
    <cacheField name="Which camps? (SoCal 2021)" numFmtId="0">
      <sharedItems containsBlank="1"/>
    </cacheField>
    <cacheField name="Which camps? (SoCal 2022)" numFmtId="0">
      <sharedItems containsNonDate="0" containsString="0" containsBlank="1"/>
    </cacheField>
    <cacheField name="Which camps? (SoCal 2023)" numFmtId="0">
      <sharedItems containsNonDate="0" containsString="0" containsBlank="1"/>
    </cacheField>
    <cacheField name="Which camps? (Midwest 2018)" numFmtId="0">
      <sharedItems containsNonDate="0" containsString="0" containsBlank="1"/>
    </cacheField>
    <cacheField name="Which camps? (Midwest 2019)" numFmtId="0">
      <sharedItems containsNonDate="0" containsString="0" containsBlank="1"/>
    </cacheField>
    <cacheField name="Which camps? (Midwest 2022)" numFmtId="0">
      <sharedItems containsBlank="1"/>
    </cacheField>
    <cacheField name="Which camps? (Midwest 2023)" numFmtId="0">
      <sharedItems containsBlank="1"/>
    </cacheField>
    <cacheField name="Which camps? (Chicago Day Camp 2021)" numFmtId="0">
      <sharedItems containsBlank="1"/>
    </cacheField>
    <cacheField name="Which camps? (Chicago Day Camp 2023)" numFmtId="0">
      <sharedItems containsBlank="1"/>
    </cacheField>
    <cacheField name="Which camps? (Seattle Day Camp 2021)" numFmtId="0">
      <sharedItems containsNonDate="0" containsString="0" containsBlank="1"/>
    </cacheField>
    <cacheField name="Which camps? (Atlanta Day Camp 2021)" numFmtId="0">
      <sharedItems containsNonDate="0" containsString="0" containsBlank="1"/>
    </cacheField>
    <cacheField name="Which camps? (South 2022)" numFmtId="0">
      <sharedItems containsBlank="1"/>
    </cacheField>
    <cacheField name="Which camps? (LA Day Camp 2022)" numFmtId="0">
      <sharedItems containsNonDate="0" containsString="0" containsBlank="1"/>
    </cacheField>
    <cacheField name="Which camps? (LA Day Camp 2023)" numFmtId="0">
      <sharedItems containsNonDate="0" containsString="0" containsBlank="1"/>
    </cacheField>
    <cacheField name="How did you hear about Trybal? (I'm an alum)" numFmtId="0">
      <sharedItems containsBlank="1"/>
    </cacheField>
    <cacheField name="How did you hear about Trybal? (Another Trybal event)" numFmtId="0">
      <sharedItems containsBlank="1"/>
    </cacheField>
    <cacheField name="How did you hear about Trybal? (Jewish Federation of Greater Atlanta)" numFmtId="0">
      <sharedItems containsBlank="1"/>
    </cacheField>
    <cacheField name="How did you hear about Trybal? (Marcus JCC of Atlanta (MJCCA))" numFmtId="0">
      <sharedItems containsBlank="1"/>
    </cacheField>
    <cacheField name="How did you hear about Trybal? (The Temple)" numFmtId="0">
      <sharedItems containsBlank="1"/>
    </cacheField>
    <cacheField name="How did you hear about Trybal? (Honeymoon Israel)" numFmtId="0">
      <sharedItems containsBlank="1"/>
    </cacheField>
    <cacheField name="How did you hear about Trybal? (Friends)" numFmtId="0">
      <sharedItems containsBlank="1"/>
    </cacheField>
    <cacheField name="How did you hear about Trybal? (Facebook)" numFmtId="0">
      <sharedItems containsBlank="1"/>
    </cacheField>
    <cacheField name="How did you hear about Trybal? (Instagram)" numFmtId="0">
      <sharedItems containsBlank="1"/>
    </cacheField>
    <cacheField name="How did you hear about Trybal? (A family member)" numFmtId="0">
      <sharedItems containsBlank="1"/>
    </cacheField>
    <cacheField name="How did you hear about Trybal? (Internet search)" numFmtId="0">
      <sharedItems containsBlank="1"/>
    </cacheField>
    <cacheField name="How did you hear about Trybal? (Press)" numFmtId="0">
      <sharedItems containsBlank="1"/>
    </cacheField>
    <cacheField name="How did you hear about Trybal? (Another Jewish organization)" numFmtId="0">
      <sharedItems containsBlank="1"/>
    </cacheField>
    <cacheField name="How did you hear about Trybal? (Other)" numFmtId="0">
      <sharedItems containsBlank="1"/>
    </cacheField>
    <cacheField name="Did you ever attend camp as a kid or as a staff member? (Yes, day camp)" numFmtId="0">
      <sharedItems containsBlank="1"/>
    </cacheField>
    <cacheField name="Did you ever attend camp as a kid or as a staff member? (Yes, overnight camp)" numFmtId="0">
      <sharedItems containsBlank="1"/>
    </cacheField>
    <cacheField name="Did you ever attend camp as a kid or as a staff member? (No)" numFmtId="0">
      <sharedItems containsBlank="1"/>
    </cacheField>
    <cacheField name="Which camp(s)?" numFmtId="0">
      <sharedItems containsBlank="1"/>
    </cacheField>
    <cacheField name="Which friend(s)?" numFmtId="0">
      <sharedItems containsBlank="1"/>
    </cacheField>
    <cacheField name="Which other Jewish organization(s)?" numFmtId="0">
      <sharedItems containsBlank="1"/>
    </cacheField>
    <cacheField name="Where'd you hear about Trybal?" numFmtId="0">
      <sharedItems containsBlank="1"/>
    </cacheField>
    <cacheField name="Do you have any medical or accessibility considerations we should be aware of?" numFmtId="0">
      <sharedItems containsBlank="1"/>
    </cacheField>
    <cacheField name="Please explain2" numFmtId="0">
      <sharedItems containsBlank="1" longText="1"/>
    </cacheField>
    <cacheField name="Are you interested in taking the bus from NYC?" numFmtId="0">
      <sharedItems containsBlank="1"/>
    </cacheField>
    <cacheField name="What do you do for a living?" numFmtId="0">
      <sharedItems containsBlank="1"/>
    </cacheField>
    <cacheField name="Tell us a fun fact about yourself!" numFmtId="0">
      <sharedItems containsBlank="1" longText="1"/>
    </cacheField>
    <cacheField name="What's your favorite midnight snack?" numFmtId="0">
      <sharedItems containsBlank="1"/>
    </cacheField>
    <cacheField name="Anything else you want us to know?" numFmtId="0">
      <sharedItems containsBlank="1" longText="1"/>
    </cacheField>
    <cacheField name="Please accept this waiver in order to register for the even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x v="0"/>
    <n v="48213552"/>
    <d v="2024-04-30T17:09:00"/>
    <s v="Abeshouse"/>
    <s v="Cabin Lodging | Early Bird"/>
    <m/>
    <n v="599"/>
    <n v="627.21"/>
    <n v="28.21"/>
    <s v="Female"/>
    <d v="1993-01-21T00:00:00"/>
    <n v="31"/>
    <s v="New York"/>
    <s v="NY"/>
    <n v="10029"/>
    <s v="US"/>
    <s v="Confirm"/>
    <s v="L"/>
    <s v="None"/>
    <m/>
    <s v="Female Cabin"/>
    <m/>
    <m/>
    <m/>
    <s v="Conservative"/>
    <m/>
    <m/>
    <m/>
    <m/>
    <s v="Yes"/>
    <m/>
    <m/>
    <m/>
    <m/>
    <m/>
    <m/>
    <m/>
    <m/>
    <m/>
    <m/>
    <m/>
    <m/>
    <m/>
    <m/>
    <m/>
    <m/>
    <m/>
    <m/>
    <m/>
    <m/>
    <m/>
    <m/>
    <m/>
    <m/>
    <m/>
    <m/>
    <m/>
    <m/>
    <m/>
    <m/>
    <m/>
    <m/>
    <m/>
    <s v="Yes"/>
    <m/>
    <m/>
    <m/>
    <m/>
    <m/>
    <m/>
    <s v="Yes"/>
    <m/>
    <s v="Frenchwoods, once"/>
    <s v="Andrew Van Bochove"/>
    <m/>
    <m/>
    <s v="No"/>
    <m/>
    <s v="Maybe"/>
    <s v="RN"/>
    <s v="My nickname is Gabs and I solo traveled for a year working on farms after college."/>
    <s v="Berries and cream w peanut butter."/>
    <m/>
    <s v="Yes"/>
  </r>
  <r>
    <x v="0"/>
    <n v="49091675"/>
    <d v="2024-05-29T13:51:00"/>
    <s v="Apfelbaum"/>
    <s v="Cabin Lodging | Standard"/>
    <s v="BERKSHIRESSWITCH"/>
    <n v="725"/>
    <n v="625.42999999999995"/>
    <n v="26.43"/>
    <s v="Female"/>
    <d v="1989-12-12T00:00:00"/>
    <n v="34"/>
    <s v="Somerville"/>
    <s v="MA"/>
    <s v="02143-3494"/>
    <s v="US"/>
    <s v="Confirm"/>
    <s v="M"/>
    <s v="None"/>
    <m/>
    <s v="Co-ed Cabin"/>
    <m/>
    <m/>
    <s v="Emily Blumenthal, Joel Croft, Joel Cohen"/>
    <s v="Just Jewish"/>
    <m/>
    <s v="Yes"/>
    <m/>
    <m/>
    <m/>
    <m/>
    <m/>
    <m/>
    <s v="Yes"/>
    <m/>
    <m/>
    <m/>
    <m/>
    <m/>
    <m/>
    <m/>
    <m/>
    <m/>
    <m/>
    <m/>
    <m/>
    <m/>
    <m/>
    <m/>
    <m/>
    <m/>
    <m/>
    <m/>
    <m/>
    <m/>
    <m/>
    <m/>
    <m/>
    <m/>
    <m/>
    <m/>
    <m/>
    <m/>
    <m/>
    <m/>
    <m/>
    <m/>
    <m/>
    <m/>
    <m/>
    <s v="Yes"/>
    <m/>
    <s v="Horizons"/>
    <m/>
    <m/>
    <m/>
    <s v="No"/>
    <m/>
    <s v="No"/>
    <s v="Nonprofit"/>
    <s v="I make miniature book nooks as a hobby"/>
    <s v="Chocolate"/>
    <m/>
    <s v="Yes"/>
  </r>
  <r>
    <x v="0"/>
    <n v="46953530"/>
    <d v="2024-03-27T09:15:00"/>
    <s v="Bartman"/>
    <s v="Cabin Lodging | Early Bird"/>
    <s v="PRESALE24"/>
    <n v="599"/>
    <n v="0"/>
    <n v="0"/>
    <s v="Male"/>
    <d v="1999-05-04T00:00:00"/>
    <n v="24"/>
    <s v="Alexandria"/>
    <s v="VA"/>
    <n v="22314"/>
    <s v="US"/>
    <s v="Confirm"/>
    <s v="M"/>
    <s v="Gluten-free, Dairy-free"/>
    <m/>
    <s v="Co-ed Cabin"/>
    <m/>
    <m/>
    <s v="Put me with cool people"/>
    <s v="Culturally Jewish"/>
    <m/>
    <s v="Yes"/>
    <s v="Yes"/>
    <s v="Yes"/>
    <m/>
    <m/>
    <m/>
    <m/>
    <m/>
    <m/>
    <m/>
    <s v="Yes"/>
    <m/>
    <m/>
    <m/>
    <m/>
    <m/>
    <m/>
    <m/>
    <m/>
    <m/>
    <m/>
    <m/>
    <m/>
    <m/>
    <m/>
    <m/>
    <m/>
    <m/>
    <m/>
    <m/>
    <m/>
    <m/>
    <m/>
    <m/>
    <m/>
    <m/>
    <m/>
    <m/>
    <m/>
    <m/>
    <m/>
    <m/>
    <m/>
    <m/>
    <s v="Yes"/>
    <m/>
    <s v="Camp Poyntelle"/>
    <m/>
    <m/>
    <m/>
    <s v="No"/>
    <m/>
    <s v="Yes, send me more info"/>
    <s v="Own a Scientific Supply Company"/>
    <s v="I lived in China for 3.5 months"/>
    <s v="Biscotti"/>
    <m/>
    <s v="Yes"/>
  </r>
  <r>
    <x v="0"/>
    <n v="49725597"/>
    <d v="2024-06-21T03:48:00"/>
    <s v="Bevilacqua"/>
    <s v="Cabin Lodging | Standard"/>
    <s v="MAXB"/>
    <n v="725"/>
    <n v="625.42999999999995"/>
    <n v="26.43"/>
    <s v="Male"/>
    <d v="1991-02-01T00:00:00"/>
    <n v="33"/>
    <s v="Kensington"/>
    <s v="MD"/>
    <n v="20895"/>
    <s v="US"/>
    <s v="Confirm"/>
    <s v="L"/>
    <s v="None"/>
    <m/>
    <s v="Co-ed Cabin"/>
    <m/>
    <m/>
    <s v="Anyone from Eisner"/>
    <s v="Reform"/>
    <m/>
    <s v="Yes"/>
    <m/>
    <m/>
    <m/>
    <m/>
    <s v="Yes"/>
    <m/>
    <m/>
    <m/>
    <m/>
    <m/>
    <m/>
    <m/>
    <m/>
    <m/>
    <m/>
    <m/>
    <m/>
    <m/>
    <m/>
    <m/>
    <m/>
    <m/>
    <m/>
    <m/>
    <m/>
    <m/>
    <m/>
    <m/>
    <m/>
    <m/>
    <m/>
    <m/>
    <m/>
    <m/>
    <m/>
    <m/>
    <m/>
    <m/>
    <m/>
    <m/>
    <m/>
    <m/>
    <m/>
    <s v="Yes"/>
    <m/>
    <s v="Eisner"/>
    <m/>
    <m/>
    <m/>
    <s v="No"/>
    <m/>
    <s v="No"/>
    <s v="Consultant"/>
    <s v="Webbed toes"/>
    <s v="Pizza"/>
    <s v="n/a"/>
    <s v="Yes"/>
  </r>
  <r>
    <x v="0"/>
    <n v="46905782"/>
    <d v="2024-03-25T12:16:00"/>
    <s v="Blackman"/>
    <s v="Private Lodging - Double | Early Bird"/>
    <m/>
    <n v="825"/>
    <n v="859.04"/>
    <n v="34.049999999999997"/>
    <s v="Female"/>
    <d v="1996-11-28T00:00:00"/>
    <n v="27"/>
    <s v="Toronto"/>
    <s v="ON"/>
    <s v="M5G2A1"/>
    <s v="US"/>
    <s v="Confirm"/>
    <s v="L"/>
    <s v="None"/>
    <m/>
    <m/>
    <s v="Yes"/>
    <s v="I was given a shared space private accommodation at Trybal Ski Weekend instead of the private room I paid for, therefore please consider giving me a private room alone at camp to account for this instead of a roommate."/>
    <m/>
    <s v="Reform"/>
    <m/>
    <s v="Yes"/>
    <s v="Yes"/>
    <m/>
    <m/>
    <m/>
    <s v="Yes"/>
    <s v="Yes"/>
    <s v="Yes"/>
    <s v="Yes"/>
    <m/>
    <s v="Yes"/>
    <m/>
    <m/>
    <m/>
    <m/>
    <m/>
    <m/>
    <m/>
    <m/>
    <m/>
    <s v="Yes"/>
    <m/>
    <m/>
    <m/>
    <m/>
    <m/>
    <m/>
    <m/>
    <m/>
    <m/>
    <m/>
    <m/>
    <m/>
    <m/>
    <m/>
    <m/>
    <m/>
    <m/>
    <m/>
    <m/>
    <m/>
    <m/>
    <m/>
    <s v="Yes"/>
    <s v="Yes"/>
    <m/>
    <s v="Kutz"/>
    <m/>
    <m/>
    <m/>
    <s v="No"/>
    <m/>
    <s v="Yes, send me more info"/>
    <m/>
    <s v="First time in four years, birthday isn't overlapping with camp"/>
    <s v="Would rather be sleeping"/>
    <s v="No"/>
    <s v="Yes"/>
  </r>
  <r>
    <x v="0"/>
    <n v="49088739"/>
    <d v="2024-05-29T12:14:00"/>
    <s v="BLAY"/>
    <s v="Cabin Lodging | Standard"/>
    <m/>
    <n v="725"/>
    <n v="755.84"/>
    <n v="30.84"/>
    <s v="Male"/>
    <d v="1991-02-06T00:00:00"/>
    <n v="33"/>
    <s v="Alexandria"/>
    <s v="VA"/>
    <n v="22314"/>
    <s v="US"/>
    <s v="Confirm"/>
    <s v="M"/>
    <s v="None"/>
    <m/>
    <s v="Co-ed Cabin"/>
    <m/>
    <m/>
    <m/>
    <s v="Just Jewish"/>
    <m/>
    <m/>
    <s v="Yes"/>
    <m/>
    <m/>
    <m/>
    <m/>
    <m/>
    <m/>
    <m/>
    <m/>
    <m/>
    <m/>
    <m/>
    <m/>
    <m/>
    <m/>
    <m/>
    <m/>
    <m/>
    <m/>
    <m/>
    <m/>
    <m/>
    <m/>
    <m/>
    <m/>
    <m/>
    <m/>
    <m/>
    <m/>
    <m/>
    <m/>
    <m/>
    <m/>
    <m/>
    <m/>
    <m/>
    <s v="Yes"/>
    <m/>
    <m/>
    <m/>
    <m/>
    <m/>
    <s v="Yes"/>
    <s v="Yes"/>
    <m/>
    <s v="Camp Olympic (a Russian sleepaway camp that probably hasn't existed in 20 years)"/>
    <s v="Lauren Farber"/>
    <m/>
    <m/>
    <s v="No"/>
    <m/>
    <s v="Maybe"/>
    <s v="Strategy Consulting"/>
    <s v="Every year, I build a new Lego menorah"/>
    <s v="Cinnamon Chex"/>
    <m/>
    <s v="Yes"/>
  </r>
  <r>
    <x v="0"/>
    <n v="49103265"/>
    <d v="2024-05-29T21:10:00"/>
    <s v="Blumenthal"/>
    <s v="Cabin Lodging | Standard"/>
    <s v="BERKSHIRESSWITCH"/>
    <n v="725"/>
    <n v="1254.42"/>
    <n v="56.42"/>
    <s v="Female"/>
    <d v="1987-05-01T00:00:00"/>
    <n v="37"/>
    <s v="West Hartford"/>
    <s v="CT"/>
    <n v="6119"/>
    <s v="US"/>
    <s v="Confirm"/>
    <s v="S"/>
    <s v="Gluten-free"/>
    <m/>
    <s v="Co-ed Cabin"/>
    <m/>
    <m/>
    <s v="Joel Cohen, Joel Croft, Rachel Apfelbaum"/>
    <s v="Culturally Jewish"/>
    <m/>
    <s v="Yes"/>
    <m/>
    <m/>
    <m/>
    <m/>
    <m/>
    <m/>
    <s v="Yes"/>
    <m/>
    <m/>
    <m/>
    <m/>
    <m/>
    <m/>
    <m/>
    <m/>
    <m/>
    <m/>
    <m/>
    <m/>
    <m/>
    <m/>
    <m/>
    <m/>
    <m/>
    <m/>
    <m/>
    <m/>
    <m/>
    <m/>
    <m/>
    <m/>
    <m/>
    <m/>
    <m/>
    <m/>
    <m/>
    <m/>
    <m/>
    <m/>
    <m/>
    <m/>
    <m/>
    <m/>
    <m/>
    <s v="Yes"/>
    <m/>
    <m/>
    <m/>
    <m/>
    <s v="No"/>
    <m/>
    <s v="Yes, send me more info"/>
    <m/>
    <m/>
    <m/>
    <m/>
    <s v="Yes"/>
  </r>
  <r>
    <x v="0"/>
    <n v="48220719"/>
    <d v="2024-04-30T20:51:00"/>
    <s v="Brown"/>
    <s v="Cabin Lodging | Early Bird"/>
    <m/>
    <n v="599"/>
    <n v="627.21"/>
    <n v="28.21"/>
    <s v="Female"/>
    <d v="1987-10-12T00:00:00"/>
    <n v="36"/>
    <s v="Astoria"/>
    <s v="NY"/>
    <n v="11103"/>
    <s v="US"/>
    <s v="Confirm"/>
    <s v="S"/>
    <s v="None"/>
    <m/>
    <s v="Female Cabin"/>
    <m/>
    <m/>
    <s v="Dena Goldstein"/>
    <s v="Reform"/>
    <m/>
    <m/>
    <m/>
    <m/>
    <s v="Yes"/>
    <m/>
    <m/>
    <m/>
    <m/>
    <m/>
    <m/>
    <m/>
    <m/>
    <m/>
    <m/>
    <m/>
    <m/>
    <m/>
    <m/>
    <m/>
    <m/>
    <m/>
    <m/>
    <m/>
    <m/>
    <m/>
    <m/>
    <m/>
    <m/>
    <m/>
    <m/>
    <m/>
    <m/>
    <m/>
    <m/>
    <m/>
    <m/>
    <m/>
    <s v="Yes"/>
    <m/>
    <m/>
    <m/>
    <s v="Yes"/>
    <m/>
    <m/>
    <s v="Yes"/>
    <m/>
    <s v="Kenwood Kenmont Camp"/>
    <s v="Katie Berlin"/>
    <s v="Birthright Israel"/>
    <m/>
    <s v="No"/>
    <m/>
    <s v="Maybe"/>
    <s v="Nonprofit fundraising"/>
    <s v="I was called up on stage at Second City"/>
    <s v="Fruit w/optional chocolate and almond butter"/>
    <m/>
    <s v="Yes"/>
  </r>
  <r>
    <x v="0"/>
    <n v="47771312"/>
    <d v="2024-04-18T09:29:00"/>
    <s v="Butvin"/>
    <s v="Cabin Lodging | Early Bird"/>
    <m/>
    <n v="599"/>
    <n v="625.42999999999995"/>
    <n v="26.43"/>
    <s v="Male"/>
    <d v="1986-08-31T00:00:00"/>
    <n v="37"/>
    <s v="Washington"/>
    <s v="DC"/>
    <n v="20007"/>
    <s v="US"/>
    <s v="Confirm"/>
    <s v="M"/>
    <s v="Vegetarian, Dairy-free"/>
    <m/>
    <s v="No preference"/>
    <m/>
    <m/>
    <m/>
    <s v="Culturally Jewish"/>
    <m/>
    <m/>
    <s v="Yes"/>
    <m/>
    <m/>
    <m/>
    <m/>
    <m/>
    <m/>
    <m/>
    <m/>
    <m/>
    <m/>
    <m/>
    <m/>
    <m/>
    <m/>
    <m/>
    <m/>
    <m/>
    <m/>
    <m/>
    <m/>
    <m/>
    <m/>
    <m/>
    <m/>
    <m/>
    <m/>
    <m/>
    <m/>
    <m/>
    <m/>
    <s v="Yes"/>
    <m/>
    <m/>
    <m/>
    <m/>
    <s v="Yes"/>
    <m/>
    <m/>
    <m/>
    <m/>
    <m/>
    <m/>
    <s v="Yes"/>
    <m/>
    <s v="URJ Greene Family Camp, URJ Kutz Camp"/>
    <s v="All of em"/>
    <m/>
    <m/>
    <s v="No"/>
    <m/>
    <s v="Maybe"/>
    <s v="Tech, Real Estate, Jewelry Manufacturing"/>
    <s v="After college, I went to Vegas and tried to play professional poker for a living. Didn't work out."/>
    <s v="Goldfish"/>
    <s v="I like camp"/>
    <s v="Yes"/>
  </r>
  <r>
    <x v="0"/>
    <n v="49029018"/>
    <d v="2024-05-26T15:46:00"/>
    <s v="Chaykin"/>
    <s v="Cabin Lodging | Standard"/>
    <m/>
    <n v="725"/>
    <n v="755.84"/>
    <n v="30.84"/>
    <s v="Male"/>
    <d v="1993-09-13T00:00:00"/>
    <n v="30"/>
    <s v="Seattle"/>
    <s v="WA"/>
    <n v="98103"/>
    <s v="US"/>
    <s v="Confirm"/>
    <s v="S"/>
    <s v="None"/>
    <m/>
    <s v="No preference"/>
    <m/>
    <m/>
    <m/>
    <s v="Conservative"/>
    <m/>
    <m/>
    <s v="Yes"/>
    <m/>
    <m/>
    <m/>
    <m/>
    <m/>
    <m/>
    <m/>
    <m/>
    <m/>
    <m/>
    <m/>
    <m/>
    <m/>
    <m/>
    <m/>
    <m/>
    <m/>
    <m/>
    <m/>
    <m/>
    <m/>
    <m/>
    <m/>
    <m/>
    <m/>
    <m/>
    <m/>
    <m/>
    <s v="Yes"/>
    <m/>
    <m/>
    <m/>
    <m/>
    <m/>
    <m/>
    <m/>
    <m/>
    <m/>
    <m/>
    <m/>
    <m/>
    <m/>
    <s v="Yes"/>
    <m/>
    <s v="Tawonga"/>
    <m/>
    <m/>
    <m/>
    <s v="No"/>
    <m/>
    <s v="Yes, send me more info"/>
    <s v="Finance, M&amp;A"/>
    <s v="Speak Japanese"/>
    <s v="Potato chips"/>
    <m/>
    <s v="Yes"/>
  </r>
  <r>
    <x v="0"/>
    <n v="46952823"/>
    <d v="2024-03-27T08:29:00"/>
    <s v="Cohen"/>
    <s v="Cabin Lodging | Early Bird"/>
    <s v="PRESALE24"/>
    <n v="599"/>
    <n v="0"/>
    <n v="0"/>
    <s v="Female"/>
    <d v="1993-04-13T00:00:00"/>
    <n v="30"/>
    <s v="Livingston"/>
    <s v="NJ"/>
    <n v="7039"/>
    <s v="US"/>
    <s v="Confirm"/>
    <s v="S"/>
    <s v="None"/>
    <m/>
    <s v="No preference"/>
    <m/>
    <m/>
    <m/>
    <s v="Culturally Jewish"/>
    <m/>
    <s v="Yes"/>
    <s v="Yes"/>
    <m/>
    <m/>
    <m/>
    <m/>
    <m/>
    <m/>
    <m/>
    <m/>
    <m/>
    <m/>
    <m/>
    <m/>
    <m/>
    <m/>
    <m/>
    <m/>
    <m/>
    <m/>
    <s v="Yes"/>
    <s v="Yes"/>
    <m/>
    <m/>
    <m/>
    <m/>
    <m/>
    <m/>
    <m/>
    <m/>
    <m/>
    <m/>
    <m/>
    <m/>
    <m/>
    <m/>
    <m/>
    <m/>
    <m/>
    <m/>
    <m/>
    <m/>
    <m/>
    <s v="Yes"/>
    <s v="Yes"/>
    <m/>
    <s v="Harand Camp"/>
    <m/>
    <m/>
    <m/>
    <s v="No"/>
    <m/>
    <s v="Yes, send me more info"/>
    <s v="I'm a mental health therapist."/>
    <s v="I love theater, and will travel mainly to see shows."/>
    <s v="Anything with peanut butter"/>
    <m/>
    <s v="Yes"/>
  </r>
  <r>
    <x v="0"/>
    <n v="49103265"/>
    <d v="2024-05-29T21:10:00"/>
    <s v="Cohen"/>
    <s v="Cabin Lodging | Standard"/>
    <s v="BERKSHIRESSWITCH"/>
    <n v="725"/>
    <n v="1254.42"/>
    <n v="56.42"/>
    <s v="Male"/>
    <d v="1988-09-09T00:00:00"/>
    <n v="35"/>
    <s v="New York"/>
    <s v="NY"/>
    <n v="10038"/>
    <s v="US"/>
    <s v="Confirm"/>
    <s v="L"/>
    <s v="None"/>
    <m/>
    <s v="Co-ed Cabin"/>
    <m/>
    <m/>
    <s v="Emily Blumenthal, Rachel Apfelbaum, Joel Croft"/>
    <s v="Conservative"/>
    <m/>
    <m/>
    <m/>
    <m/>
    <s v="Yes"/>
    <m/>
    <m/>
    <m/>
    <m/>
    <m/>
    <m/>
    <m/>
    <m/>
    <m/>
    <m/>
    <m/>
    <m/>
    <m/>
    <m/>
    <m/>
    <m/>
    <m/>
    <m/>
    <m/>
    <m/>
    <m/>
    <m/>
    <m/>
    <m/>
    <m/>
    <m/>
    <m/>
    <m/>
    <m/>
    <m/>
    <m/>
    <m/>
    <m/>
    <s v="Yes"/>
    <m/>
    <m/>
    <m/>
    <m/>
    <m/>
    <m/>
    <s v="Yes"/>
    <m/>
    <s v="Capital Camps and Emma Kaufman"/>
    <s v="Emily Blumenthal"/>
    <m/>
    <m/>
    <s v="No"/>
    <m/>
    <s v="Yes, send me more info"/>
    <m/>
    <m/>
    <m/>
    <m/>
    <s v="Yes"/>
  </r>
  <r>
    <x v="0"/>
    <n v="49806205"/>
    <d v="2024-06-23T20:48:00"/>
    <s v="CRAMER"/>
    <s v="Cabin Lodging | Standard"/>
    <s v="HARTFORDCAMP"/>
    <n v="725"/>
    <n v="446.6"/>
    <n v="21.6"/>
    <s v="Female"/>
    <d v="1986-01-17T00:00:00"/>
    <n v="38"/>
    <s v="New York"/>
    <s v="NY"/>
    <n v="10023"/>
    <s v="US"/>
    <s v="Confirm"/>
    <s v="S"/>
    <s v="None"/>
    <m/>
    <s v="Female Cabin"/>
    <m/>
    <m/>
    <s v="Amanda Zinkerman, Naomi Abrams (if she decides to sign up)"/>
    <s v="Culturally Jewish"/>
    <m/>
    <m/>
    <m/>
    <m/>
    <s v="Yes"/>
    <m/>
    <m/>
    <m/>
    <m/>
    <m/>
    <m/>
    <m/>
    <m/>
    <m/>
    <m/>
    <m/>
    <m/>
    <m/>
    <m/>
    <m/>
    <m/>
    <m/>
    <m/>
    <m/>
    <m/>
    <m/>
    <m/>
    <m/>
    <m/>
    <m/>
    <m/>
    <m/>
    <m/>
    <m/>
    <m/>
    <m/>
    <m/>
    <m/>
    <m/>
    <m/>
    <m/>
    <m/>
    <s v="Yes"/>
    <m/>
    <s v="Yes"/>
    <s v="Yes"/>
    <m/>
    <s v="Camp gan Izzy"/>
    <m/>
    <s v="Urban Dor"/>
    <m/>
    <s v="No"/>
    <m/>
    <s v="No"/>
    <s v="Real estate investor"/>
    <s v="I speak Hebrew fluently"/>
    <m/>
    <m/>
    <s v="Yes"/>
  </r>
  <r>
    <x v="0"/>
    <n v="49103995"/>
    <d v="2024-05-29T21:41:00"/>
    <s v="Croft"/>
    <s v="Cabin Lodging | Standard"/>
    <s v="BERKSHIRESSWITCH"/>
    <n v="725"/>
    <n v="625.42999999999995"/>
    <n v="26.43"/>
    <s v="Male"/>
    <d v="1987-04-19T00:00:00"/>
    <n v="36"/>
    <s v="New York"/>
    <s v="NY"/>
    <n v="10010"/>
    <s v="US"/>
    <s v="Confirm"/>
    <s v="XXL"/>
    <s v="None"/>
    <m/>
    <s v="Co-ed Cabin"/>
    <m/>
    <m/>
    <s v="Rachel Apfelbaum; Emily Blumenthal; Joel Cohen"/>
    <s v="Conservative"/>
    <m/>
    <m/>
    <m/>
    <m/>
    <s v="Yes"/>
    <m/>
    <m/>
    <m/>
    <m/>
    <m/>
    <m/>
    <m/>
    <m/>
    <m/>
    <m/>
    <m/>
    <m/>
    <m/>
    <m/>
    <m/>
    <m/>
    <m/>
    <m/>
    <m/>
    <m/>
    <m/>
    <m/>
    <m/>
    <m/>
    <m/>
    <m/>
    <m/>
    <m/>
    <m/>
    <m/>
    <m/>
    <m/>
    <m/>
    <s v="Yes"/>
    <m/>
    <m/>
    <m/>
    <m/>
    <m/>
    <s v="Yes"/>
    <s v="Yes"/>
    <m/>
    <s v="CYJ Texas"/>
    <s v="Rachel Apfelbaum; Emily Blumenthal; Joel Cohen"/>
    <m/>
    <m/>
    <s v="Yes"/>
    <s v="Need access to power outlet in cabin near bed for CPAP"/>
    <s v="No"/>
    <s v="Strategy Consultant"/>
    <s v="I have fostered over 200 puppies for a local rescue"/>
    <s v="Popcorn"/>
    <s v="Nope!"/>
    <s v="Yes"/>
  </r>
  <r>
    <x v="0"/>
    <n v="46960047"/>
    <d v="2024-03-27T12:57:00"/>
    <s v="Czeck"/>
    <s v="Cabin Lodging | Early Bird"/>
    <m/>
    <n v="599"/>
    <n v="625.13"/>
    <n v="26.14"/>
    <s v="Female"/>
    <d v="1991-09-02T00:00:00"/>
    <n v="32"/>
    <s v="Long Island City"/>
    <s v="NY"/>
    <n v="11101"/>
    <s v="US"/>
    <s v="Confirm"/>
    <s v="XXL"/>
    <s v="None"/>
    <m/>
    <s v="Female Cabin"/>
    <m/>
    <m/>
    <m/>
    <s v="Reform"/>
    <m/>
    <m/>
    <m/>
    <m/>
    <s v="Yes"/>
    <m/>
    <m/>
    <m/>
    <m/>
    <m/>
    <m/>
    <m/>
    <m/>
    <m/>
    <m/>
    <m/>
    <m/>
    <m/>
    <m/>
    <m/>
    <m/>
    <m/>
    <m/>
    <m/>
    <m/>
    <m/>
    <m/>
    <m/>
    <m/>
    <m/>
    <m/>
    <m/>
    <m/>
    <m/>
    <m/>
    <m/>
    <m/>
    <m/>
    <m/>
    <m/>
    <m/>
    <s v="Yes"/>
    <m/>
    <m/>
    <m/>
    <s v="Yes"/>
    <m/>
    <s v="Camp Nokomis"/>
    <m/>
    <m/>
    <m/>
    <s v="No"/>
    <m/>
    <s v="Maybe"/>
    <s v="Consultant"/>
    <m/>
    <m/>
    <m/>
    <s v="Yes"/>
  </r>
  <r>
    <x v="0"/>
    <n v="46911616"/>
    <d v="2024-03-25T15:22:00"/>
    <s v="Edell"/>
    <s v="Private Lodging - Single | Early Bird"/>
    <m/>
    <n v="895"/>
    <n v="931.49"/>
    <n v="36.5"/>
    <s v="Male"/>
    <d v="1993-06-29T00:00:00"/>
    <n v="30"/>
    <s v="Upper Saddle River"/>
    <s v="NJ"/>
    <n v="7458"/>
    <s v="US"/>
    <s v="Confirm"/>
    <s v="L"/>
    <s v="None"/>
    <m/>
    <m/>
    <m/>
    <m/>
    <m/>
    <s v="Culturally Jewish"/>
    <m/>
    <s v="Yes"/>
    <m/>
    <m/>
    <m/>
    <m/>
    <m/>
    <m/>
    <m/>
    <s v="Yes"/>
    <m/>
    <s v="Yes"/>
    <m/>
    <m/>
    <m/>
    <m/>
    <m/>
    <m/>
    <m/>
    <m/>
    <m/>
    <m/>
    <m/>
    <m/>
    <m/>
    <m/>
    <m/>
    <m/>
    <m/>
    <m/>
    <m/>
    <m/>
    <m/>
    <m/>
    <m/>
    <m/>
    <m/>
    <m/>
    <m/>
    <m/>
    <m/>
    <m/>
    <m/>
    <m/>
    <m/>
    <m/>
    <s v="Yes"/>
    <m/>
    <m/>
    <m/>
    <m/>
    <s v="No"/>
    <m/>
    <s v="Maybe"/>
    <s v="Software Engineer"/>
    <s v="My work has literally touched the sun"/>
    <s v="Cereal"/>
    <s v="The answer is 42."/>
    <s v="Yes"/>
  </r>
  <r>
    <x v="0"/>
    <n v="46964752"/>
    <d v="2024-03-27T15:27:00"/>
    <s v="Edelman"/>
    <s v="Private Lodging - Double | Early Bird"/>
    <m/>
    <n v="825"/>
    <n v="861.49"/>
    <n v="36.5"/>
    <s v="Female"/>
    <d v="1993-11-17T00:00:00"/>
    <n v="30"/>
    <s v="New York"/>
    <s v="NY"/>
    <n v="10024"/>
    <s v="US"/>
    <s v="Confirm"/>
    <s v="S"/>
    <s v="Vegetarian, Vegan"/>
    <m/>
    <m/>
    <s v="No, assign me an awesome roommate!"/>
    <m/>
    <m/>
    <s v="Conservative"/>
    <m/>
    <m/>
    <m/>
    <m/>
    <s v="Yes"/>
    <m/>
    <m/>
    <m/>
    <m/>
    <m/>
    <m/>
    <m/>
    <m/>
    <m/>
    <m/>
    <m/>
    <m/>
    <m/>
    <m/>
    <m/>
    <m/>
    <m/>
    <m/>
    <m/>
    <m/>
    <m/>
    <m/>
    <m/>
    <m/>
    <m/>
    <m/>
    <m/>
    <m/>
    <m/>
    <m/>
    <m/>
    <m/>
    <s v="Yes"/>
    <m/>
    <m/>
    <m/>
    <m/>
    <m/>
    <m/>
    <m/>
    <m/>
    <s v="Yes"/>
    <m/>
    <m/>
    <m/>
    <m/>
    <s v="No"/>
    <m/>
    <s v="Yes, send me more info"/>
    <s v="Admin"/>
    <s v="I love to travel, but not many people know the first time I took a plane was in my early twenties"/>
    <s v="Fruits for the win"/>
    <m/>
    <s v="Yes"/>
  </r>
  <r>
    <x v="0"/>
    <n v="46954778"/>
    <d v="2024-03-27T10:10:00"/>
    <s v="Fierberg"/>
    <s v="Cabin Lodging | Early Bird"/>
    <s v="PRESALE24"/>
    <n v="599"/>
    <n v="0"/>
    <n v="0"/>
    <s v="Female"/>
    <d v="1987-02-06T00:00:00"/>
    <n v="37"/>
    <s v="Greenwich"/>
    <s v="CT"/>
    <n v="6830"/>
    <s v="US"/>
    <s v="Confirm"/>
    <s v="S"/>
    <s v="Kosher, Gluten-free, Dairy-free"/>
    <m/>
    <s v="Female Cabin"/>
    <m/>
    <m/>
    <s v="Liz Brenner, Laurie Kamens"/>
    <s v="Conservative"/>
    <m/>
    <s v="Yes"/>
    <s v="Yes"/>
    <s v="Yes"/>
    <m/>
    <m/>
    <m/>
    <m/>
    <m/>
    <s v="Yes"/>
    <s v="Yes"/>
    <m/>
    <s v="Yes"/>
    <m/>
    <m/>
    <m/>
    <m/>
    <m/>
    <m/>
    <m/>
    <m/>
    <m/>
    <m/>
    <m/>
    <m/>
    <m/>
    <m/>
    <m/>
    <m/>
    <m/>
    <m/>
    <m/>
    <m/>
    <m/>
    <m/>
    <m/>
    <m/>
    <m/>
    <m/>
    <m/>
    <m/>
    <m/>
    <m/>
    <m/>
    <m/>
    <m/>
    <s v="Yes"/>
    <m/>
    <m/>
    <m/>
    <m/>
    <s v="No"/>
    <m/>
    <s v="Yes, send me more info"/>
    <s v="Journalist"/>
    <s v="I hate chocolate. I love ABBA. I want to live in Barcelona someday."/>
    <s v="Popcorn. Grapes."/>
    <m/>
    <s v="Yes"/>
  </r>
  <r>
    <x v="0"/>
    <n v="48197604"/>
    <d v="2024-04-30T08:26:00"/>
    <s v="Fierston"/>
    <s v="Cabin Lodging | Early Bird"/>
    <m/>
    <n v="599"/>
    <n v="625.42999999999995"/>
    <n v="26.43"/>
    <s v="Female"/>
    <d v="1997-04-30T00:00:00"/>
    <n v="27"/>
    <s v="New York"/>
    <s v="NY"/>
    <n v="10128"/>
    <s v="US"/>
    <s v="Confirm"/>
    <s v="L"/>
    <s v="None"/>
    <m/>
    <s v="No preference"/>
    <m/>
    <m/>
    <m/>
    <s v="Reform"/>
    <m/>
    <m/>
    <m/>
    <m/>
    <s v="Yes"/>
    <m/>
    <m/>
    <m/>
    <m/>
    <m/>
    <m/>
    <m/>
    <m/>
    <m/>
    <m/>
    <m/>
    <m/>
    <m/>
    <m/>
    <m/>
    <m/>
    <m/>
    <m/>
    <m/>
    <m/>
    <m/>
    <m/>
    <m/>
    <m/>
    <m/>
    <m/>
    <m/>
    <m/>
    <m/>
    <m/>
    <m/>
    <m/>
    <m/>
    <m/>
    <s v="Yes"/>
    <m/>
    <m/>
    <m/>
    <m/>
    <m/>
    <s v="Yes"/>
    <m/>
    <s v="Camp Merriwood"/>
    <m/>
    <m/>
    <m/>
    <s v="No"/>
    <m/>
    <s v="No"/>
    <m/>
    <m/>
    <m/>
    <m/>
    <s v="Yes"/>
  </r>
  <r>
    <x v="0"/>
    <n v="48195395"/>
    <d v="2024-03-26T01:03:00"/>
    <s v="Fowler"/>
    <s v="Cabin Lodging | Early Bird"/>
    <m/>
    <n v="599"/>
    <n v="627.21"/>
    <n v="28.21"/>
    <s v="Male"/>
    <d v="1996-07-01T00:00:00"/>
    <n v="27"/>
    <s v="Cambridge"/>
    <s v="MA"/>
    <n v="2139"/>
    <s v="US"/>
    <s v="Confirm"/>
    <s v="S"/>
    <s v="None"/>
    <m/>
    <s v="Male Cabin"/>
    <m/>
    <m/>
    <m/>
    <s v="Conservative"/>
    <m/>
    <m/>
    <m/>
    <m/>
    <s v="Yes"/>
    <m/>
    <m/>
    <m/>
    <m/>
    <m/>
    <m/>
    <m/>
    <m/>
    <m/>
    <m/>
    <m/>
    <m/>
    <m/>
    <m/>
    <m/>
    <m/>
    <m/>
    <m/>
    <m/>
    <m/>
    <m/>
    <m/>
    <m/>
    <m/>
    <m/>
    <m/>
    <m/>
    <m/>
    <m/>
    <m/>
    <s v="Yes"/>
    <s v="Yes"/>
    <m/>
    <m/>
    <m/>
    <m/>
    <m/>
    <m/>
    <m/>
    <m/>
    <m/>
    <s v="Yes"/>
    <m/>
    <m/>
    <m/>
    <m/>
    <s v="No"/>
    <m/>
    <s v="Maybe"/>
    <s v="Computer engineer"/>
    <m/>
    <m/>
    <m/>
    <s v="Yes"/>
  </r>
  <r>
    <x v="0"/>
    <n v="46924384"/>
    <d v="2024-04-30T10:25:00"/>
    <s v="Fox"/>
    <s v="Cabin Lodging | Early Bird"/>
    <s v="PRESALE24"/>
    <n v="599"/>
    <n v="0"/>
    <n v="0"/>
    <s v="Male"/>
    <d v="1984-10-06T00:00:00"/>
    <n v="39"/>
    <s v="New York"/>
    <s v="NY"/>
    <n v="10024"/>
    <s v="US"/>
    <s v="Confirm"/>
    <s v="M"/>
    <s v="None"/>
    <m/>
    <s v="Male Cabin"/>
    <m/>
    <m/>
    <m/>
    <s v="Just Jewish"/>
    <m/>
    <s v="Yes"/>
    <m/>
    <m/>
    <m/>
    <m/>
    <m/>
    <m/>
    <m/>
    <m/>
    <m/>
    <s v="Yes"/>
    <m/>
    <m/>
    <m/>
    <m/>
    <s v="Yes"/>
    <m/>
    <m/>
    <m/>
    <m/>
    <s v="Yes"/>
    <m/>
    <m/>
    <m/>
    <m/>
    <m/>
    <s v="Yes"/>
    <m/>
    <m/>
    <m/>
    <m/>
    <m/>
    <m/>
    <m/>
    <m/>
    <m/>
    <m/>
    <m/>
    <m/>
    <m/>
    <m/>
    <m/>
    <m/>
    <s v="Yes"/>
    <s v="Yes"/>
    <m/>
    <s v="Blue Rill Day Camp. I also attended the Boy Scout camp No-Be-Bos-Co one week when I was 12."/>
    <m/>
    <m/>
    <m/>
    <s v="No"/>
    <m/>
    <s v="Yes, send me more info"/>
    <s v="Data Engineering and Data Science"/>
    <s v="My family used to own a carpet business and in the early 1980s before I was born, before he became famous and was known for his role as Walter White in Breaking Bad and Hal in Malcolm in the middle, Bryan Cranston did some commercials for my family's carpet business."/>
    <s v="Warm Chocolate Chip Cookies fresh from the oven"/>
    <m/>
    <s v="Yes"/>
  </r>
  <r>
    <x v="0"/>
    <n v="48198418"/>
    <d v="2024-03-27T12:09:00"/>
    <s v="Furth"/>
    <s v="Cabin Lodging | Early Bird"/>
    <m/>
    <n v="599"/>
    <n v="625.42999999999995"/>
    <n v="26.43"/>
    <s v="Female"/>
    <d v="1993-05-05T00:00:00"/>
    <n v="30"/>
    <s v="New York"/>
    <s v="NY"/>
    <n v="10025"/>
    <s v="US"/>
    <s v="Confirm"/>
    <s v="S"/>
    <s v="None"/>
    <m/>
    <s v="Female Cabin"/>
    <m/>
    <m/>
    <s v="Jennifer Gordon, Sarah Glaser, and Elana Shapiro"/>
    <s v="Conservative"/>
    <m/>
    <s v="Yes"/>
    <s v="Yes"/>
    <s v="Yes"/>
    <m/>
    <m/>
    <m/>
    <m/>
    <m/>
    <m/>
    <m/>
    <m/>
    <s v="Yes"/>
    <m/>
    <m/>
    <m/>
    <m/>
    <m/>
    <m/>
    <m/>
    <m/>
    <m/>
    <m/>
    <m/>
    <m/>
    <m/>
    <m/>
    <m/>
    <m/>
    <m/>
    <m/>
    <m/>
    <m/>
    <m/>
    <m/>
    <m/>
    <m/>
    <m/>
    <m/>
    <m/>
    <m/>
    <m/>
    <m/>
    <m/>
    <m/>
    <s v="Yes"/>
    <m/>
    <s v="Camp Ramah New England"/>
    <m/>
    <m/>
    <m/>
    <s v="No"/>
    <m/>
    <s v="Yes, send me more info"/>
    <s v="I work for JCC Association of North America."/>
    <s v="I have been to black, red, and pink sand beaches."/>
    <s v="Popcorn with m &amp; ms"/>
    <m/>
    <s v="Yes"/>
  </r>
  <r>
    <x v="0"/>
    <n v="46958550"/>
    <d v="2024-05-30T05:04:00"/>
    <s v="Garellek"/>
    <s v="Cabin Lodging | Early Bird"/>
    <m/>
    <n v="599"/>
    <n v="626.91"/>
    <n v="27.92"/>
    <s v="Female"/>
    <d v="1994-11-19T00:00:00"/>
    <n v="29"/>
    <s v="Waltham"/>
    <s v="MA"/>
    <n v="2452"/>
    <s v="US"/>
    <s v="Confirm"/>
    <s v="M"/>
    <s v="None"/>
    <m/>
    <s v="Female Cabin"/>
    <m/>
    <m/>
    <m/>
    <s v="Reform"/>
    <m/>
    <m/>
    <m/>
    <m/>
    <s v="Yes"/>
    <m/>
    <m/>
    <m/>
    <m/>
    <m/>
    <m/>
    <m/>
    <m/>
    <m/>
    <m/>
    <m/>
    <m/>
    <m/>
    <m/>
    <m/>
    <m/>
    <m/>
    <m/>
    <m/>
    <m/>
    <m/>
    <m/>
    <m/>
    <m/>
    <m/>
    <m/>
    <m/>
    <m/>
    <m/>
    <m/>
    <m/>
    <m/>
    <m/>
    <s v="Yes"/>
    <m/>
    <m/>
    <m/>
    <m/>
    <m/>
    <s v="Yes"/>
    <m/>
    <m/>
    <s v="Jcc artsfest"/>
    <s v="Lauren Wolfe"/>
    <m/>
    <m/>
    <s v="No"/>
    <m/>
    <s v="Yes, send me more info"/>
    <s v="Engineer for NBC"/>
    <s v="Im a dual citizen of Canada and US"/>
    <s v="Popcorn"/>
    <m/>
    <s v="Yes"/>
  </r>
  <r>
    <x v="0"/>
    <n v="49108150"/>
    <d v="2024-03-27T01:08:00"/>
    <s v="Garfinkel"/>
    <s v="Cabin Lodging | Standard"/>
    <m/>
    <n v="725"/>
    <n v="755.84"/>
    <n v="30.84"/>
    <s v="Female"/>
    <d v="1987-06-21T00:00:00"/>
    <n v="36"/>
    <s v="rockville Centre"/>
    <s v="NY"/>
    <n v="11570"/>
    <s v="US"/>
    <s v="Confirm"/>
    <s v="M"/>
    <s v="None"/>
    <m/>
    <s v="No preference"/>
    <m/>
    <m/>
    <m/>
    <s v="Reform"/>
    <m/>
    <m/>
    <m/>
    <m/>
    <s v="Yes"/>
    <m/>
    <m/>
    <m/>
    <m/>
    <m/>
    <m/>
    <m/>
    <m/>
    <m/>
    <m/>
    <m/>
    <m/>
    <m/>
    <m/>
    <m/>
    <m/>
    <m/>
    <m/>
    <m/>
    <m/>
    <m/>
    <m/>
    <m/>
    <m/>
    <m/>
    <m/>
    <m/>
    <m/>
    <m/>
    <m/>
    <m/>
    <m/>
    <s v="Yes"/>
    <s v="Yes"/>
    <m/>
    <s v="Yes"/>
    <m/>
    <m/>
    <m/>
    <m/>
    <s v="Yes"/>
    <m/>
    <s v="Romaca"/>
    <s v="Nicole Rosenberg"/>
    <m/>
    <m/>
    <s v="No"/>
    <m/>
    <s v="No"/>
    <s v="Doctor"/>
    <s v="I’m training for the NYC marathon"/>
    <s v="Trader Joe’s Dark Chocolate Peanut Butter Cups"/>
    <m/>
    <s v="Yes"/>
  </r>
  <r>
    <x v="0"/>
    <n v="46950918"/>
    <d v="2024-03-27T12:40:00"/>
    <s v="Glaser"/>
    <s v="Cabin Lodging | Early Bird"/>
    <s v="PRESALE24"/>
    <n v="599"/>
    <n v="0"/>
    <n v="0"/>
    <s v="Female"/>
    <d v="1989-05-24T00:00:00"/>
    <n v="35"/>
    <s v="Newington"/>
    <s v="CT"/>
    <n v="6111"/>
    <s v="US"/>
    <s v="Confirm"/>
    <s v="M"/>
    <s v="None"/>
    <m/>
    <s v="No preference"/>
    <m/>
    <m/>
    <s v="Elana Shapiro, Jess Kamens"/>
    <s v="Reform"/>
    <m/>
    <s v="Yes"/>
    <s v="Yes"/>
    <m/>
    <m/>
    <m/>
    <m/>
    <m/>
    <m/>
    <m/>
    <m/>
    <m/>
    <s v="Yes"/>
    <m/>
    <m/>
    <m/>
    <m/>
    <m/>
    <m/>
    <m/>
    <m/>
    <m/>
    <m/>
    <m/>
    <m/>
    <m/>
    <m/>
    <m/>
    <m/>
    <m/>
    <m/>
    <m/>
    <m/>
    <m/>
    <m/>
    <m/>
    <m/>
    <m/>
    <m/>
    <m/>
    <m/>
    <m/>
    <m/>
    <m/>
    <s v="Yes"/>
    <s v="Yes"/>
    <m/>
    <s v="Camp Ramapo, Camp Walt Whitman"/>
    <m/>
    <m/>
    <m/>
    <s v="No"/>
    <m/>
    <s v="No"/>
    <s v="Finance - Data Transformation Strategy &amp; Content"/>
    <s v="I have sung at Carnegie Hall multiple times."/>
    <s v="Tuna with chili crisp / Amy's bean &amp; cheese bites / crunchwrap supreme"/>
    <s v="Nope!"/>
    <s v="Yes"/>
  </r>
  <r>
    <x v="0"/>
    <n v="46959481"/>
    <d v="2024-03-25T14:38:00"/>
    <s v="Gluck"/>
    <s v="Private Lodging - Double | Early Bird"/>
    <m/>
    <n v="825"/>
    <n v="859.04"/>
    <n v="25.22"/>
    <s v="Male"/>
    <d v="1987-04-16T00:00:00"/>
    <n v="37"/>
    <s v="New York"/>
    <s v="NY"/>
    <n v="10021"/>
    <s v="US"/>
    <s v="Confirm"/>
    <s v="XXL"/>
    <s v="None"/>
    <s v="Michael"/>
    <s v="No, assign me an awesome roommate!"/>
    <m/>
    <m/>
    <s v="Conservative"/>
    <m/>
    <m/>
    <m/>
    <m/>
    <s v="Yes"/>
    <m/>
    <m/>
    <m/>
    <m/>
    <m/>
    <m/>
    <m/>
    <m/>
    <m/>
    <m/>
    <m/>
    <m/>
    <m/>
    <m/>
    <m/>
    <m/>
    <m/>
    <m/>
    <m/>
    <m/>
    <m/>
    <m/>
    <m/>
    <m/>
    <m/>
    <m/>
    <m/>
    <m/>
    <m/>
    <m/>
    <m/>
    <m/>
    <m/>
    <m/>
    <m/>
    <m/>
    <m/>
    <m/>
    <s v="Yes"/>
    <s v="Yes"/>
    <s v="Yes"/>
    <m/>
    <s v="Spring Lake"/>
    <m/>
    <m/>
    <s v="Email"/>
    <s v="No"/>
    <m/>
    <s v="Maybe"/>
    <m/>
    <m/>
    <m/>
    <m/>
    <s v="Yes"/>
    <m/>
  </r>
  <r>
    <x v="0"/>
    <n v="46910297"/>
    <d v="2024-03-26T21:42:00"/>
    <s v="Goldring"/>
    <s v="Cabin Lodging | Early Bird"/>
    <s v="PRESALE24"/>
    <n v="599"/>
    <n v="0"/>
    <n v="0"/>
    <s v="Female"/>
    <d v="1988-10-01T00:00:00"/>
    <n v="35"/>
    <s v="Cambridge"/>
    <s v="MA"/>
    <n v="2139"/>
    <s v="US"/>
    <s v="Confirm"/>
    <s v="M"/>
    <s v="None"/>
    <m/>
    <s v="Female Cabin"/>
    <m/>
    <m/>
    <m/>
    <s v="Culturally Jewish"/>
    <m/>
    <s v="Yes"/>
    <s v="Yes"/>
    <m/>
    <m/>
    <m/>
    <m/>
    <m/>
    <m/>
    <m/>
    <m/>
    <m/>
    <s v="Yes"/>
    <m/>
    <m/>
    <m/>
    <m/>
    <m/>
    <m/>
    <m/>
    <m/>
    <m/>
    <m/>
    <m/>
    <m/>
    <m/>
    <m/>
    <m/>
    <m/>
    <m/>
    <m/>
    <m/>
    <m/>
    <m/>
    <m/>
    <m/>
    <m/>
    <m/>
    <m/>
    <m/>
    <m/>
    <m/>
    <m/>
    <m/>
    <s v="Yes"/>
    <m/>
    <m/>
    <s v="Shibley"/>
    <m/>
    <m/>
    <m/>
    <s v="No"/>
    <m/>
    <s v="Yes, send me more info"/>
    <s v="Professional Development at a Law Firm"/>
    <s v="I was on SNL singing a Chanukah song as a kid."/>
    <s v="Ice cream"/>
    <m/>
    <s v="Yes"/>
  </r>
  <r>
    <x v="0"/>
    <n v="46947898"/>
    <d v="2024-03-26T22:49:00"/>
    <s v="Goldstein"/>
    <s v="Cabin Lodging | Early Bird"/>
    <s v="PRESALE24"/>
    <n v="599"/>
    <n v="0"/>
    <n v="0"/>
    <s v="Female"/>
    <d v="1985-12-11T00:00:00"/>
    <n v="38"/>
    <s v="Brighton"/>
    <s v="MA"/>
    <n v="2135"/>
    <s v="US"/>
    <s v="Confirm"/>
    <s v="M"/>
    <s v="None"/>
    <m/>
    <s v="Female Cabin"/>
    <m/>
    <m/>
    <s v="Ilena Kubit, Liz Brenner, Rachel Sanderson, Zoe Kershner"/>
    <s v="Just Jewish"/>
    <m/>
    <s v="Yes"/>
    <s v="Yes"/>
    <s v="Yes"/>
    <m/>
    <m/>
    <m/>
    <m/>
    <m/>
    <m/>
    <m/>
    <m/>
    <s v="Yes"/>
    <m/>
    <m/>
    <m/>
    <m/>
    <m/>
    <m/>
    <m/>
    <m/>
    <m/>
    <m/>
    <m/>
    <m/>
    <m/>
    <m/>
    <m/>
    <m/>
    <m/>
    <m/>
    <m/>
    <m/>
    <m/>
    <m/>
    <m/>
    <m/>
    <m/>
    <m/>
    <m/>
    <m/>
    <m/>
    <m/>
    <m/>
    <s v="Yes"/>
    <s v="Yes"/>
    <m/>
    <s v="Mt Ida Day Camp (now closed) and Camp Pembroke (overnight and a part of the Cohen Camp foundation)"/>
    <m/>
    <m/>
    <m/>
    <s v="No"/>
    <m/>
    <s v="No"/>
    <s v="Account Manager at ezCater"/>
    <s v="My bar mitzvah theme was ice cream and I wrote my college application admittance essay about ice cream!"/>
    <s v="Popcorn and chocolate! Or takis and popcorn together (sounds weird but so good!)"/>
    <s v="Excited to attend for the second year in a row!"/>
    <s v="Yes"/>
  </r>
  <r>
    <x v="0"/>
    <n v="46949249"/>
    <d v="2024-04-30T22:15:00"/>
    <s v="Goldstein"/>
    <s v="Cabin Lodging | Early Bird"/>
    <s v="PRESALE24"/>
    <n v="599"/>
    <n v="0"/>
    <n v="0"/>
    <s v="Female"/>
    <d v="2000-07-05T00:00:00"/>
    <n v="23"/>
    <s v="South Windsor"/>
    <s v="CT"/>
    <n v="6074"/>
    <s v="US"/>
    <s v="Confirm"/>
    <s v="S"/>
    <s v="Other"/>
    <s v="Pescatarian"/>
    <s v="Female Cabin"/>
    <m/>
    <m/>
    <m/>
    <s v="Culturally Jewish"/>
    <m/>
    <m/>
    <m/>
    <m/>
    <s v="Yes"/>
    <m/>
    <m/>
    <m/>
    <m/>
    <m/>
    <m/>
    <m/>
    <m/>
    <m/>
    <m/>
    <m/>
    <m/>
    <m/>
    <m/>
    <m/>
    <m/>
    <m/>
    <m/>
    <m/>
    <m/>
    <m/>
    <m/>
    <m/>
    <m/>
    <m/>
    <m/>
    <m/>
    <m/>
    <m/>
    <m/>
    <m/>
    <m/>
    <m/>
    <s v="Yes"/>
    <m/>
    <m/>
    <m/>
    <m/>
    <m/>
    <m/>
    <s v="Yes"/>
    <m/>
    <s v="Sabra"/>
    <s v="Katie Berlin"/>
    <m/>
    <m/>
    <s v="Yes"/>
    <s v="I have epilepsy and it is under control with medication."/>
    <s v="Yes, send me more info"/>
    <s v="Marketing Producer"/>
    <s v="I used to host a podcast for my old job"/>
    <s v="Popcorn and dark chocolate"/>
    <s v="Zelle blocked me out because I put my wrong PIN number so I will try paying again tomorrow."/>
    <s v="Yes"/>
  </r>
  <r>
    <x v="0"/>
    <n v="48223511"/>
    <d v="2024-03-26T22:18:00"/>
    <s v="Gordon"/>
    <s v="Cabin Lodging | Early Bird"/>
    <m/>
    <n v="599"/>
    <n v="625.42999999999995"/>
    <n v="26.43"/>
    <s v="Female"/>
    <d v="1997-08-14T00:00:00"/>
    <n v="26"/>
    <s v="Natick"/>
    <s v="MA"/>
    <n v="1760"/>
    <s v="US"/>
    <s v="Confirm"/>
    <s v="XL"/>
    <s v="None"/>
    <m/>
    <s v="Female Cabin"/>
    <m/>
    <m/>
    <s v="Rebecca Furth, Sarah Glasser, Elana Shapiro"/>
    <s v="Conservative"/>
    <m/>
    <s v="Yes"/>
    <m/>
    <m/>
    <m/>
    <m/>
    <m/>
    <m/>
    <m/>
    <m/>
    <m/>
    <m/>
    <s v="Yes"/>
    <m/>
    <m/>
    <m/>
    <m/>
    <m/>
    <m/>
    <m/>
    <m/>
    <m/>
    <m/>
    <m/>
    <m/>
    <m/>
    <m/>
    <m/>
    <m/>
    <m/>
    <m/>
    <m/>
    <m/>
    <m/>
    <m/>
    <m/>
    <m/>
    <m/>
    <m/>
    <m/>
    <m/>
    <m/>
    <m/>
    <m/>
    <m/>
    <s v="Yes"/>
    <m/>
    <s v="Ramah Darom"/>
    <m/>
    <m/>
    <m/>
    <s v="No"/>
    <m/>
    <s v="Yes, send me more info"/>
    <s v="Nonprofit arts management"/>
    <s v="I singer opera"/>
    <s v="M &amp; Ms"/>
    <m/>
    <s v="Yes"/>
  </r>
  <r>
    <x v="0"/>
    <n v="46948642"/>
    <d v="2024-04-11T13:26:00"/>
    <s v="Grosinger"/>
    <s v="Cabin Lodging | Early Bird"/>
    <m/>
    <n v="599"/>
    <n v="625.13"/>
    <n v="26.14"/>
    <s v="Female"/>
    <d v="1994-11-17T00:00:00"/>
    <n v="29"/>
    <s v="New York"/>
    <s v="NY"/>
    <n v="10024"/>
    <s v="US"/>
    <s v="Confirm"/>
    <s v="M"/>
    <s v="None"/>
    <m/>
    <s v="Female Cabin"/>
    <m/>
    <m/>
    <s v="Zoe Kirshner, Ilena Kubit, Rachel Sanderson"/>
    <s v="Conservative"/>
    <m/>
    <s v="Yes"/>
    <m/>
    <m/>
    <m/>
    <m/>
    <m/>
    <m/>
    <m/>
    <m/>
    <m/>
    <m/>
    <s v="Yes"/>
    <m/>
    <m/>
    <m/>
    <m/>
    <m/>
    <m/>
    <m/>
    <m/>
    <m/>
    <m/>
    <m/>
    <m/>
    <m/>
    <m/>
    <m/>
    <m/>
    <m/>
    <m/>
    <m/>
    <m/>
    <m/>
    <m/>
    <m/>
    <m/>
    <m/>
    <m/>
    <m/>
    <m/>
    <m/>
    <m/>
    <m/>
    <s v="Yes"/>
    <m/>
    <m/>
    <s v="Marimeta"/>
    <m/>
    <m/>
    <m/>
    <s v="No"/>
    <m/>
    <s v="Yes, send me more info"/>
    <s v="Lawyer"/>
    <s v="I don't have one :("/>
    <s v="Salt and vinegar chips"/>
    <s v="Nope!"/>
    <s v="Yes"/>
  </r>
  <r>
    <x v="0"/>
    <n v="47498689"/>
    <d v="2024-04-28T10:46:00"/>
    <s v="Guzovsky"/>
    <s v="Cabin Lodging | Early Bird"/>
    <m/>
    <n v="599"/>
    <n v="625.13"/>
    <n v="18.43"/>
    <s v="Female"/>
    <d v="1997-10-07T00:00:00"/>
    <n v="26"/>
    <s v="New York"/>
    <s v="NY"/>
    <s v="10025-5634"/>
    <s v="US"/>
    <s v="Confirm"/>
    <s v="M"/>
    <s v="None"/>
    <m/>
    <s v="Female Cabin"/>
    <m/>
    <m/>
    <m/>
    <s v="Just Jewish"/>
    <m/>
    <m/>
    <m/>
    <m/>
    <s v="Yes"/>
    <m/>
    <m/>
    <m/>
    <m/>
    <m/>
    <m/>
    <m/>
    <m/>
    <m/>
    <m/>
    <m/>
    <m/>
    <m/>
    <m/>
    <m/>
    <m/>
    <m/>
    <m/>
    <m/>
    <m/>
    <m/>
    <m/>
    <m/>
    <m/>
    <m/>
    <m/>
    <m/>
    <m/>
    <m/>
    <m/>
    <s v="Yes"/>
    <m/>
    <m/>
    <m/>
    <m/>
    <m/>
    <m/>
    <m/>
    <m/>
    <s v="Yes"/>
    <s v="Yes"/>
    <m/>
    <s v="Mount Ida Day Camp, Camp Nashoba North -- lots of other smaller camp sessions throughout the years"/>
    <m/>
    <m/>
    <m/>
    <s v="Yes"/>
    <s v="I have a condition called MECFS. It consists of pretty bad fatigue and brain fog, to the point where I'm no longer able to work and I now live at home with my family while I try different treatments. I can still socialize but I get tired very quickly. I don't think I'll need any particular accommodations, just FYI that I'll probably only be able to join 1-2 events each day and will need to sit out the Color War."/>
    <s v="No"/>
    <s v="Lawyer but currently not working"/>
    <m/>
    <s v="smores!"/>
    <m/>
    <s v="Yes"/>
  </r>
  <r>
    <x v="0"/>
    <n v="48136428"/>
    <d v="2024-04-01T19:05:00"/>
    <s v="Hassman"/>
    <s v="Cabin Lodging | Early Bird"/>
    <m/>
    <n v="599"/>
    <n v="625.42999999999995"/>
    <n v="26.43"/>
    <s v="Male"/>
    <d v="1993-10-12T00:00:00"/>
    <n v="30"/>
    <s v="Chicago"/>
    <s v="IL"/>
    <n v="60657"/>
    <s v="US"/>
    <s v="Confirm"/>
    <s v="S"/>
    <s v="Gluten-fre"/>
    <m/>
    <s v="No preference"/>
    <m/>
    <m/>
    <m/>
    <s v="Reform"/>
    <m/>
    <m/>
    <s v="Yes"/>
    <m/>
    <m/>
    <m/>
    <m/>
    <m/>
    <m/>
    <m/>
    <m/>
    <m/>
    <m/>
    <m/>
    <m/>
    <m/>
    <m/>
    <m/>
    <m/>
    <m/>
    <m/>
    <m/>
    <m/>
    <m/>
    <m/>
    <m/>
    <m/>
    <m/>
    <m/>
    <m/>
    <m/>
    <m/>
    <m/>
    <s v="Yes"/>
    <m/>
    <m/>
    <m/>
    <m/>
    <m/>
    <m/>
    <m/>
    <m/>
    <m/>
    <m/>
    <m/>
    <m/>
    <s v="Yes"/>
    <m/>
    <m/>
    <m/>
    <m/>
    <s v="No"/>
    <m/>
    <s v="Maybe"/>
    <s v="Actuary"/>
    <s v="I am a multi state backgammon champion!"/>
    <s v="Sleeping"/>
    <m/>
    <s v="Yes"/>
  </r>
  <r>
    <x v="0"/>
    <n v="47131449"/>
    <d v="2024-05-06T15:20:00"/>
    <s v="Honig"/>
    <s v="Cabin Lodging | Early Bird"/>
    <m/>
    <n v="599"/>
    <n v="625.42999999999995"/>
    <n v="26.43"/>
    <s v="Female"/>
    <d v="1993-07-05T00:00:00"/>
    <n v="30"/>
    <s v="New York"/>
    <s v="NY"/>
    <n v="10023"/>
    <s v="US"/>
    <s v="Confirm"/>
    <s v="M"/>
    <s v="None"/>
    <m/>
    <s v="Female Cabin"/>
    <m/>
    <m/>
    <m/>
    <s v="Culturally Jewish"/>
    <m/>
    <m/>
    <m/>
    <m/>
    <s v="Yes"/>
    <m/>
    <m/>
    <m/>
    <m/>
    <m/>
    <m/>
    <m/>
    <m/>
    <m/>
    <m/>
    <m/>
    <m/>
    <m/>
    <m/>
    <m/>
    <m/>
    <m/>
    <m/>
    <m/>
    <m/>
    <m/>
    <m/>
    <m/>
    <m/>
    <m/>
    <m/>
    <m/>
    <m/>
    <m/>
    <m/>
    <m/>
    <m/>
    <s v="Yes"/>
    <m/>
    <m/>
    <m/>
    <m/>
    <m/>
    <m/>
    <s v="Yes"/>
    <s v="Yes"/>
    <m/>
    <s v="Camp Hadar (NH), Camp Young Judaea (NH)"/>
    <m/>
    <m/>
    <m/>
    <s v="No"/>
    <m/>
    <s v="No"/>
    <s v="Marketing"/>
    <s v="When visiting family in Israel as a baby, I was scouted to be in a diaper commercial"/>
    <s v="Ramen"/>
    <m/>
    <s v="Yes"/>
  </r>
  <r>
    <x v="0"/>
    <n v="48425090"/>
    <d v="2024-03-26T22:24:00"/>
    <s v="Kalmin"/>
    <s v="Cabin Lodging | Standard"/>
    <s v="TRYBALVIP"/>
    <n v="0"/>
    <n v="0"/>
    <n v="0"/>
    <s v="Male"/>
    <d v="1994-11-16T00:00:00"/>
    <n v="29"/>
    <s v="Boston"/>
    <s v="MA"/>
    <n v="2215"/>
    <s v="US"/>
    <s v="Confirm"/>
    <s v="M"/>
    <s v="None"/>
    <m/>
    <s v="Male Cabin"/>
    <m/>
    <m/>
    <m/>
    <s v="Just Jewish"/>
    <m/>
    <s v="Yes"/>
    <s v="Yes"/>
    <s v="Yes"/>
    <m/>
    <m/>
    <m/>
    <m/>
    <m/>
    <m/>
    <s v="Yes"/>
    <m/>
    <s v="Yes"/>
    <m/>
    <m/>
    <m/>
    <m/>
    <m/>
    <m/>
    <m/>
    <m/>
    <m/>
    <m/>
    <m/>
    <m/>
    <m/>
    <m/>
    <m/>
    <m/>
    <m/>
    <m/>
    <m/>
    <m/>
    <m/>
    <m/>
    <m/>
    <m/>
    <m/>
    <m/>
    <m/>
    <m/>
    <m/>
    <m/>
    <m/>
    <m/>
    <s v="Yes"/>
    <m/>
    <s v="Camp Ramah New England"/>
    <m/>
    <m/>
    <m/>
    <s v="No"/>
    <m/>
    <s v="Yes, send me more info"/>
    <m/>
    <m/>
    <m/>
    <m/>
    <s v="Yes"/>
  </r>
  <r>
    <x v="0"/>
    <n v="46948780"/>
    <d v="2024-06-03T09:31:00"/>
    <s v="Karnofsky"/>
    <s v="Private Lodging - Double | Early Bird"/>
    <s v="PRESALE24"/>
    <n v="825"/>
    <n v="0"/>
    <n v="0"/>
    <s v="Male"/>
    <d v="1993-10-16T00:00:00"/>
    <n v="30"/>
    <s v="New York"/>
    <s v="NY"/>
    <n v="10001"/>
    <s v="US"/>
    <s v="Confirm"/>
    <s v="M"/>
    <s v="Dairy-free"/>
    <m/>
    <m/>
    <s v="Yes"/>
    <s v="TBD"/>
    <m/>
    <s v="Just Jewish"/>
    <m/>
    <s v="Yes"/>
    <s v="Yes"/>
    <s v="Yes"/>
    <s v="Yes"/>
    <s v="Yes"/>
    <m/>
    <s v="Yes"/>
    <m/>
    <s v="Yes"/>
    <m/>
    <s v="Yes"/>
    <m/>
    <m/>
    <m/>
    <m/>
    <m/>
    <m/>
    <m/>
    <m/>
    <m/>
    <m/>
    <m/>
    <m/>
    <m/>
    <m/>
    <m/>
    <m/>
    <m/>
    <m/>
    <m/>
    <m/>
    <m/>
    <m/>
    <m/>
    <m/>
    <m/>
    <m/>
    <m/>
    <m/>
    <m/>
    <m/>
    <m/>
    <m/>
    <m/>
    <m/>
    <s v="Yes"/>
    <m/>
    <m/>
    <m/>
    <m/>
    <s v="No"/>
    <m/>
    <s v="Yes, send me more info"/>
    <s v="Attorney"/>
    <s v="I have magical phone number"/>
    <s v="Mochi"/>
    <m/>
    <s v="Yes"/>
  </r>
  <r>
    <x v="0"/>
    <n v="49239445"/>
    <d v="2024-04-30T17:52:00"/>
    <s v="Kelly"/>
    <s v="Cabin Lodging | Standard"/>
    <m/>
    <n v="725"/>
    <n v="758"/>
    <n v="33"/>
    <s v="Male"/>
    <d v="1997-07-18T00:00:00"/>
    <n v="26"/>
    <s v="Somerville"/>
    <s v="MA"/>
    <n v="2143"/>
    <s v="US"/>
    <s v="Confirm"/>
    <s v="L"/>
    <s v="None"/>
    <m/>
    <s v="Co-ed Cabin"/>
    <m/>
    <m/>
    <s v="N/A"/>
    <s v="Just Jewish"/>
    <m/>
    <m/>
    <m/>
    <m/>
    <s v="Yes"/>
    <m/>
    <m/>
    <m/>
    <m/>
    <m/>
    <m/>
    <m/>
    <m/>
    <m/>
    <m/>
    <m/>
    <m/>
    <m/>
    <m/>
    <m/>
    <m/>
    <m/>
    <m/>
    <m/>
    <m/>
    <m/>
    <m/>
    <m/>
    <m/>
    <m/>
    <m/>
    <m/>
    <m/>
    <m/>
    <m/>
    <m/>
    <s v="Yes"/>
    <s v="Yes"/>
    <m/>
    <m/>
    <s v="Yes"/>
    <m/>
    <s v="Yes"/>
    <m/>
    <m/>
    <m/>
    <s v="Yes"/>
    <m/>
    <m/>
    <s v="I heard about it through word of mouth at Camp Nai Nai Nai"/>
    <m/>
    <s v="No"/>
    <m/>
    <s v="Yes, send me more info"/>
    <s v="Medical Student"/>
    <m/>
    <m/>
    <m/>
    <s v="Yes"/>
  </r>
  <r>
    <x v="0"/>
    <n v="48214993"/>
    <d v="2024-03-26T21:44:00"/>
    <s v="Kogutt"/>
    <s v="Cabin Lodging | Early Bird"/>
    <m/>
    <n v="599"/>
    <n v="627.21"/>
    <n v="28.21"/>
    <s v="Male"/>
    <d v="1996-02-20T00:00:00"/>
    <n v="28"/>
    <s v="Virginia Beach"/>
    <s v="VA"/>
    <n v="23455"/>
    <s v="US"/>
    <s v="Confirm"/>
    <s v="M"/>
    <s v="Vegetarian"/>
    <m/>
    <s v="Male Cabin"/>
    <m/>
    <m/>
    <m/>
    <s v="Conservative"/>
    <m/>
    <m/>
    <m/>
    <m/>
    <s v="Yes"/>
    <m/>
    <m/>
    <m/>
    <m/>
    <m/>
    <m/>
    <m/>
    <m/>
    <m/>
    <m/>
    <m/>
    <m/>
    <m/>
    <m/>
    <m/>
    <m/>
    <m/>
    <m/>
    <m/>
    <m/>
    <m/>
    <m/>
    <m/>
    <m/>
    <m/>
    <m/>
    <m/>
    <m/>
    <m/>
    <m/>
    <m/>
    <m/>
    <m/>
    <m/>
    <m/>
    <m/>
    <m/>
    <s v="Yes"/>
    <m/>
    <s v="Yes"/>
    <s v="Yes"/>
    <m/>
    <s v="CYJ Texas"/>
    <m/>
    <s v="Roi"/>
    <m/>
    <s v="No"/>
    <m/>
    <s v="Maybe"/>
    <m/>
    <m/>
    <m/>
    <m/>
    <s v="Yes"/>
  </r>
  <r>
    <x v="0"/>
    <n v="46947933"/>
    <d v="2024-03-27T14:23:00"/>
    <s v="Kubit"/>
    <s v="Cabin Lodging | Early Bird"/>
    <s v="PRESALE24"/>
    <n v="599"/>
    <n v="0"/>
    <n v="0"/>
    <s v="Female"/>
    <d v="1986-01-25T00:00:00"/>
    <n v="38"/>
    <s v="Bolton"/>
    <s v="CT"/>
    <n v="6043"/>
    <s v="US"/>
    <s v="Confirm"/>
    <s v="M"/>
    <s v="None"/>
    <m/>
    <s v="Female Cabin"/>
    <m/>
    <m/>
    <s v="Rachel Sanderson"/>
    <s v="Reform"/>
    <m/>
    <s v="Yes"/>
    <s v="Yes"/>
    <s v="Yes"/>
    <m/>
    <m/>
    <m/>
    <m/>
    <m/>
    <m/>
    <m/>
    <m/>
    <s v="Yes"/>
    <m/>
    <m/>
    <m/>
    <m/>
    <m/>
    <m/>
    <m/>
    <m/>
    <m/>
    <m/>
    <m/>
    <m/>
    <m/>
    <m/>
    <m/>
    <m/>
    <m/>
    <m/>
    <m/>
    <m/>
    <m/>
    <m/>
    <m/>
    <m/>
    <m/>
    <m/>
    <m/>
    <m/>
    <m/>
    <m/>
    <m/>
    <s v="Yes"/>
    <s v="Yes"/>
    <m/>
    <s v="Rolling Hills Day Camp, Camp Lindenmere (sleep-away)"/>
    <m/>
    <m/>
    <m/>
    <s v="No"/>
    <m/>
    <s v="No"/>
    <s v="Sales Enablement and Operations"/>
    <s v="I've been bungee jumping and sky diving twice."/>
    <s v="pretzels and nutella"/>
    <s v="n/a"/>
    <s v="Yes"/>
  </r>
  <r>
    <x v="0"/>
    <n v="46962817"/>
    <d v="2024-03-26T21:31:00"/>
    <s v="Lebowitz"/>
    <s v="Cabin Lodging | Early Bird"/>
    <m/>
    <n v="599"/>
    <n v="625.13"/>
    <n v="26.14"/>
    <s v="Female"/>
    <d v="1984-04-28T00:00:00"/>
    <n v="39"/>
    <s v="Brooklyn"/>
    <s v="NY"/>
    <n v="11201"/>
    <s v="US"/>
    <s v="Confirm"/>
    <s v="S"/>
    <s v="None"/>
    <m/>
    <s v="Female Cabin"/>
    <m/>
    <m/>
    <s v="N/A"/>
    <s v="Just Jewish"/>
    <m/>
    <m/>
    <m/>
    <m/>
    <s v="Yes"/>
    <m/>
    <m/>
    <m/>
    <m/>
    <m/>
    <m/>
    <m/>
    <m/>
    <m/>
    <m/>
    <m/>
    <m/>
    <m/>
    <m/>
    <m/>
    <m/>
    <m/>
    <m/>
    <m/>
    <m/>
    <m/>
    <m/>
    <m/>
    <m/>
    <m/>
    <m/>
    <m/>
    <m/>
    <m/>
    <m/>
    <m/>
    <m/>
    <m/>
    <s v="Yes"/>
    <m/>
    <m/>
    <m/>
    <m/>
    <m/>
    <m/>
    <m/>
    <s v="Yes"/>
    <m/>
    <s v="Gene"/>
    <m/>
    <m/>
    <s v="No"/>
    <m/>
    <s v="No"/>
    <s v="Mental health field"/>
    <s v="I read science journals for entertainment"/>
    <s v="Cocktails"/>
    <m/>
    <s v="Yes"/>
  </r>
  <r>
    <x v="0"/>
    <n v="46947649"/>
    <d v="2024-03-25T12:14:00"/>
    <s v="Legum"/>
    <s v="Private Lodging - Single | Early Bird"/>
    <m/>
    <n v="895"/>
    <n v="931.49"/>
    <n v="36.5"/>
    <s v="Male"/>
    <d v="1985-09-14T00:00:00"/>
    <n v="38"/>
    <s v="Weston"/>
    <s v="MA"/>
    <n v="2493"/>
    <s v="US"/>
    <s v="Confirm"/>
    <s v="L"/>
    <s v="None"/>
    <m/>
    <m/>
    <m/>
    <m/>
    <m/>
    <s v="Conservative"/>
    <m/>
    <s v="Yes"/>
    <m/>
    <m/>
    <m/>
    <m/>
    <m/>
    <m/>
    <m/>
    <m/>
    <m/>
    <m/>
    <s v="Yes"/>
    <m/>
    <m/>
    <m/>
    <m/>
    <m/>
    <m/>
    <m/>
    <m/>
    <m/>
    <m/>
    <m/>
    <m/>
    <m/>
    <m/>
    <m/>
    <m/>
    <m/>
    <m/>
    <m/>
    <m/>
    <m/>
    <m/>
    <m/>
    <m/>
    <m/>
    <m/>
    <m/>
    <m/>
    <m/>
    <m/>
    <m/>
    <m/>
    <s v="Yes"/>
    <m/>
    <s v="Capital Camps"/>
    <m/>
    <m/>
    <m/>
    <s v="Yes"/>
    <s v="CP. Fully independent . Can Water Ski, Ski, RUn a business. Don't really want help"/>
    <s v="Yes, send me more info"/>
    <s v="Real Estate Development"/>
    <s v="Like the water"/>
    <m/>
    <m/>
    <s v="Yes"/>
  </r>
  <r>
    <x v="0"/>
    <n v="46905707"/>
    <d v="2024-04-30T17:02:00"/>
    <s v="Leicher"/>
    <s v="Private Lodging - Double | Early Bird"/>
    <s v="PRESALE24"/>
    <n v="825"/>
    <n v="0"/>
    <n v="0"/>
    <s v="Female"/>
    <d v="1999-05-18T00:00:00"/>
    <n v="24"/>
    <s v="Framingham"/>
    <s v="MA"/>
    <n v="1701"/>
    <s v="US"/>
    <s v="Confirm"/>
    <s v="S"/>
    <s v="None"/>
    <m/>
    <m/>
    <s v="Yes"/>
    <s v="Erika Mackin"/>
    <m/>
    <s v="Culturally Jewish"/>
    <m/>
    <s v="Yes"/>
    <s v="Yes"/>
    <s v="Yes"/>
    <m/>
    <m/>
    <m/>
    <m/>
    <s v="Yes"/>
    <m/>
    <s v="Yes"/>
    <m/>
    <s v="Yes"/>
    <m/>
    <m/>
    <m/>
    <m/>
    <m/>
    <m/>
    <m/>
    <m/>
    <m/>
    <m/>
    <m/>
    <m/>
    <m/>
    <m/>
    <m/>
    <m/>
    <m/>
    <m/>
    <m/>
    <m/>
    <m/>
    <m/>
    <m/>
    <m/>
    <m/>
    <m/>
    <m/>
    <m/>
    <m/>
    <m/>
    <m/>
    <s v="Yes"/>
    <m/>
    <m/>
    <s v="Mssa"/>
    <m/>
    <m/>
    <m/>
    <s v="Yes"/>
    <s v="Ulcerative colitis."/>
    <s v="No"/>
    <s v="Scientist"/>
    <s v="I like to break dance"/>
    <s v="Cheese sticks"/>
    <m/>
    <s v="Yes"/>
  </r>
  <r>
    <x v="0"/>
    <n v="48213316"/>
    <d v="2024-03-26T15:34:00"/>
    <s v="Levin"/>
    <s v="Cabin Lodging | Early Bird"/>
    <s v="REPAIREXCHANGE750"/>
    <n v="599"/>
    <n v="0"/>
    <n v="0"/>
    <s v="Female"/>
    <d v="1997-02-08T00:00:00"/>
    <n v="27"/>
    <s v="Morris Plains"/>
    <s v="NJ"/>
    <n v="7950"/>
    <s v="US"/>
    <s v="Confirm"/>
    <s v="M"/>
    <s v="None"/>
    <m/>
    <s v="Co-ed Cabin"/>
    <m/>
    <m/>
    <m/>
    <s v="Conservative"/>
    <m/>
    <s v="Yes"/>
    <s v="Yes"/>
    <s v="Yes"/>
    <m/>
    <m/>
    <m/>
    <m/>
    <s v="Yes"/>
    <m/>
    <s v="Yes"/>
    <m/>
    <m/>
    <m/>
    <m/>
    <m/>
    <m/>
    <m/>
    <m/>
    <m/>
    <m/>
    <m/>
    <m/>
    <m/>
    <m/>
    <m/>
    <m/>
    <m/>
    <m/>
    <m/>
    <m/>
    <m/>
    <m/>
    <m/>
    <m/>
    <m/>
    <m/>
    <m/>
    <m/>
    <m/>
    <m/>
    <m/>
    <m/>
    <m/>
    <s v="Yes"/>
    <s v="Yes"/>
    <m/>
    <s v="Camp Silverbrook (Girl Scout camp)"/>
    <m/>
    <m/>
    <m/>
    <s v="No"/>
    <m/>
    <s v="No"/>
    <s v="Senior Physician medical editor (medical education company)"/>
    <s v="I'm a lifetime member of Girl Scouts."/>
    <s v="Reese's peanut butter cups"/>
    <m/>
    <s v="Yes"/>
  </r>
  <r>
    <x v="0"/>
    <n v="46938510"/>
    <d v="2024-05-23T14:36:00"/>
    <s v="Levy"/>
    <s v="Cabin Lodging | Early Bird"/>
    <s v="PRESALE24"/>
    <n v="599"/>
    <n v="0"/>
    <n v="0"/>
    <s v="Male"/>
    <d v="1993-05-11T00:00:00"/>
    <n v="30"/>
    <s v="Toronto"/>
    <s v="ON"/>
    <s v="M5M 3B1"/>
    <s v="US"/>
    <s v="Confirm"/>
    <s v="M"/>
    <s v="None"/>
    <m/>
    <s v="Male Cabin"/>
    <m/>
    <m/>
    <m/>
    <s v="Conservative"/>
    <m/>
    <s v="Yes"/>
    <m/>
    <m/>
    <m/>
    <m/>
    <m/>
    <m/>
    <m/>
    <m/>
    <m/>
    <s v="Yes"/>
    <m/>
    <m/>
    <m/>
    <m/>
    <m/>
    <m/>
    <m/>
    <m/>
    <m/>
    <m/>
    <m/>
    <m/>
    <m/>
    <m/>
    <m/>
    <m/>
    <m/>
    <m/>
    <m/>
    <m/>
    <m/>
    <m/>
    <m/>
    <m/>
    <m/>
    <m/>
    <m/>
    <m/>
    <m/>
    <m/>
    <m/>
    <m/>
    <s v="Yes"/>
    <s v="Yes"/>
    <m/>
    <s v="Sprout Lake, Poyntelle Lewis Village, Longacre Leadership, Stone Mountain Adventure, Camp Horizons"/>
    <m/>
    <m/>
    <m/>
    <s v="No"/>
    <m/>
    <s v="Yes, send me more info"/>
    <s v="Records Analyst"/>
    <s v="Did Backpacking Trip in Israel"/>
    <s v="Oreos"/>
    <m/>
    <s v="Yes"/>
  </r>
  <r>
    <x v="0"/>
    <n v="48930878"/>
    <d v="2024-05-03T19:14:00"/>
    <s v="Levy"/>
    <s v="Cabin Lodging | Standard"/>
    <m/>
    <n v="725"/>
    <n v="758"/>
    <n v="0"/>
    <s v="Female"/>
    <d v="1990-08-28T00:00:00"/>
    <n v="33"/>
    <s v="Chicago"/>
    <s v="IL"/>
    <n v="60640"/>
    <s v="US"/>
    <s v="Confirm"/>
    <s v="XXL"/>
    <s v="Kosher"/>
    <m/>
    <s v="Female Cabin"/>
    <m/>
    <m/>
    <s v="NA"/>
    <s v="Conservative"/>
    <m/>
    <m/>
    <m/>
    <m/>
    <s v="Yes"/>
    <m/>
    <m/>
    <m/>
    <m/>
    <m/>
    <m/>
    <m/>
    <m/>
    <m/>
    <m/>
    <m/>
    <m/>
    <m/>
    <m/>
    <m/>
    <m/>
    <m/>
    <m/>
    <m/>
    <m/>
    <m/>
    <m/>
    <m/>
    <m/>
    <m/>
    <m/>
    <m/>
    <m/>
    <m/>
    <s v="Yes"/>
    <m/>
    <m/>
    <m/>
    <m/>
    <m/>
    <m/>
    <m/>
    <m/>
    <m/>
    <m/>
    <m/>
    <s v="Yes"/>
    <m/>
    <m/>
    <m/>
    <m/>
    <s v="No"/>
    <m/>
    <s v="Yes, send me more info"/>
    <s v="Fashion"/>
    <s v="I am originally from Florida but I love the snow in NYC."/>
    <s v="Definitely Chocolate"/>
    <s v="NA"/>
    <s v="Yes"/>
  </r>
  <r>
    <x v="0"/>
    <n v="48332178"/>
    <d v="2024-03-27T12:05:00"/>
    <s v="Lewis"/>
    <s v="Cabin Lodging | Early Bird"/>
    <m/>
    <n v="599"/>
    <n v="625.42999999999995"/>
    <n v="26.43"/>
    <s v="Male"/>
    <d v="1989-08-16T00:00:00"/>
    <n v="34"/>
    <s v="Nyack"/>
    <s v="NY"/>
    <n v="10960"/>
    <s v="US"/>
    <s v="Confirm"/>
    <s v="M"/>
    <s v="Other"/>
    <s v="No pork or shellfish"/>
    <s v="Co-ed Cabin"/>
    <m/>
    <m/>
    <m/>
    <s v="Just Jewish"/>
    <m/>
    <m/>
    <s v="Yes"/>
    <m/>
    <m/>
    <m/>
    <m/>
    <m/>
    <m/>
    <m/>
    <m/>
    <m/>
    <m/>
    <m/>
    <m/>
    <m/>
    <m/>
    <m/>
    <m/>
    <m/>
    <m/>
    <m/>
    <m/>
    <m/>
    <m/>
    <m/>
    <m/>
    <m/>
    <m/>
    <m/>
    <m/>
    <m/>
    <m/>
    <m/>
    <s v="Yes"/>
    <m/>
    <m/>
    <m/>
    <m/>
    <m/>
    <m/>
    <m/>
    <m/>
    <m/>
    <m/>
    <m/>
    <s v="Yes"/>
    <m/>
    <m/>
    <m/>
    <m/>
    <s v="No"/>
    <m/>
    <s v="No"/>
    <s v="Law"/>
    <s v="Currently registering from Spain"/>
    <s v="None"/>
    <m/>
    <s v="Yes"/>
  </r>
  <r>
    <x v="0"/>
    <n v="46958407"/>
    <d v="2024-04-30T23:43:00"/>
    <s v="Liebowitz"/>
    <s v="Private Lodging - Single | Early Bird"/>
    <m/>
    <n v="895"/>
    <n v="931.49"/>
    <n v="36.5"/>
    <s v="Male"/>
    <d v="1982-08-19T00:00:00"/>
    <n v="41"/>
    <s v="Dorchester"/>
    <s v="MA"/>
    <n v="2125"/>
    <s v="US"/>
    <s v="Confirm"/>
    <s v="L"/>
    <s v="None"/>
    <m/>
    <m/>
    <m/>
    <m/>
    <m/>
    <s v="Reform"/>
    <m/>
    <m/>
    <s v="Yes"/>
    <m/>
    <m/>
    <m/>
    <m/>
    <m/>
    <m/>
    <m/>
    <m/>
    <m/>
    <m/>
    <m/>
    <m/>
    <m/>
    <m/>
    <m/>
    <m/>
    <m/>
    <m/>
    <m/>
    <m/>
    <m/>
    <m/>
    <m/>
    <m/>
    <m/>
    <m/>
    <m/>
    <m/>
    <m/>
    <m/>
    <m/>
    <m/>
    <m/>
    <s v="Yes"/>
    <m/>
    <m/>
    <m/>
    <m/>
    <m/>
    <m/>
    <m/>
    <s v="Yes"/>
    <s v="Yes"/>
    <m/>
    <s v="Merrick Woods Day Camp, timber lake West as a kid and I am currently a camp director at Camp Zeke"/>
    <m/>
    <m/>
    <m/>
    <s v="No"/>
    <m/>
    <s v="Maybe"/>
    <s v="sleepcamp director at Camp Zeke, a Jewish sleepaway camp in PA"/>
    <s v="i play pickleball 4 times a week"/>
    <s v="chocolate chip cookies"/>
    <s v="No"/>
    <s v="Yes"/>
  </r>
  <r>
    <x v="0"/>
    <n v="48225806"/>
    <d v="2024-03-26T01:36:00"/>
    <s v="Linzer"/>
    <s v="Cabin Lodging | Early Bird"/>
    <m/>
    <n v="599"/>
    <n v="625.42999999999995"/>
    <n v="26.43"/>
    <s v="Female"/>
    <d v="1989-09-20T00:00:00"/>
    <n v="34"/>
    <s v="Newton"/>
    <s v="MA"/>
    <n v="2468"/>
    <s v="US"/>
    <s v="Confirm"/>
    <s v="S"/>
    <s v="Dairy-free"/>
    <m/>
    <s v="Female Cabin"/>
    <m/>
    <m/>
    <m/>
    <s v="Conservative"/>
    <m/>
    <s v="Yes"/>
    <m/>
    <m/>
    <m/>
    <m/>
    <m/>
    <m/>
    <m/>
    <s v="Yes"/>
    <m/>
    <s v="Yes"/>
    <m/>
    <m/>
    <m/>
    <m/>
    <m/>
    <m/>
    <m/>
    <m/>
    <m/>
    <s v="Yes"/>
    <m/>
    <s v="Yes"/>
    <s v="Yes"/>
    <m/>
    <m/>
    <m/>
    <m/>
    <m/>
    <m/>
    <m/>
    <m/>
    <m/>
    <m/>
    <m/>
    <m/>
    <m/>
    <m/>
    <m/>
    <m/>
    <m/>
    <m/>
    <m/>
    <s v="Yes"/>
    <s v="Yes"/>
    <m/>
    <s v="multiple"/>
    <m/>
    <m/>
    <m/>
    <s v="No"/>
    <m/>
    <s v="Maybe"/>
    <s v="healthcare"/>
    <m/>
    <m/>
    <s v="I'm not sure whether Berkshires or Midwest"/>
    <s v="Yes"/>
  </r>
  <r>
    <x v="0"/>
    <n v="46924578"/>
    <d v="2024-04-07T11:25:00"/>
    <s v="Mackin"/>
    <s v="Private Lodging - Double | Early Bird"/>
    <s v="PRESALE24"/>
    <n v="825"/>
    <n v="0"/>
    <n v="0"/>
    <s v="Female"/>
    <d v="1989-04-26T00:00:00"/>
    <n v="35"/>
    <s v="Great Neck"/>
    <s v="NY"/>
    <n v="11023"/>
    <s v="US"/>
    <s v="Confirm"/>
    <s v="M"/>
    <s v="None"/>
    <m/>
    <m/>
    <s v="Yes"/>
    <s v="Rachel Leicher"/>
    <m/>
    <s v="Conservative"/>
    <m/>
    <s v="Yes"/>
    <m/>
    <m/>
    <m/>
    <m/>
    <m/>
    <m/>
    <s v="Yes"/>
    <m/>
    <s v="Yes"/>
    <m/>
    <s v="Yes"/>
    <m/>
    <m/>
    <m/>
    <m/>
    <m/>
    <m/>
    <m/>
    <m/>
    <m/>
    <m/>
    <m/>
    <m/>
    <m/>
    <m/>
    <m/>
    <m/>
    <m/>
    <m/>
    <m/>
    <m/>
    <m/>
    <m/>
    <m/>
    <m/>
    <m/>
    <m/>
    <m/>
    <m/>
    <m/>
    <m/>
    <m/>
    <s v="Yes"/>
    <s v="Yes"/>
    <m/>
    <s v="Pokemoke, Tamahay"/>
    <m/>
    <m/>
    <m/>
    <s v="No"/>
    <m/>
    <s v="No"/>
    <s v="AI research"/>
    <s v="I’m learning Hungarian on Duolingo and I’m terrible at it!"/>
    <s v="Cheese"/>
    <m/>
    <s v="Yes"/>
  </r>
  <r>
    <x v="0"/>
    <n v="47347443"/>
    <d v="2024-04-30T10:37:00"/>
    <s v="McCluskey"/>
    <s v="Private Lodging - Double | Early Bird"/>
    <m/>
    <n v="825"/>
    <n v="859.34"/>
    <n v="34.340000000000003"/>
    <s v="Female"/>
    <d v="1996-10-11T00:00:00"/>
    <n v="27"/>
    <s v="Montclair"/>
    <s v="NJ"/>
    <n v="7042"/>
    <s v="US"/>
    <s v="Confirm"/>
    <s v="M"/>
    <s v="Dairy-free, other"/>
    <s v="Peanut allergy, not too into beans"/>
    <m/>
    <s v="Yes"/>
    <s v="Philip Karnofsky"/>
    <m/>
    <s v="I'm not Jewish"/>
    <s v="Jew curious"/>
    <m/>
    <m/>
    <s v="Yes"/>
    <m/>
    <m/>
    <m/>
    <m/>
    <m/>
    <m/>
    <m/>
    <m/>
    <m/>
    <m/>
    <m/>
    <m/>
    <m/>
    <m/>
    <m/>
    <m/>
    <m/>
    <m/>
    <m/>
    <m/>
    <m/>
    <m/>
    <m/>
    <m/>
    <m/>
    <m/>
    <m/>
    <m/>
    <m/>
    <m/>
    <m/>
    <m/>
    <m/>
    <m/>
    <s v="Yes"/>
    <m/>
    <m/>
    <m/>
    <m/>
    <m/>
    <m/>
    <m/>
    <s v="Yes"/>
    <m/>
    <s v="Phil Karnofsky"/>
    <m/>
    <m/>
    <s v="No"/>
    <m/>
    <s v="Yes, send me more info"/>
    <s v="Social worker"/>
    <s v="I love nature and hiking"/>
    <s v="Fruit, pretzels and chips, seltzer"/>
    <s v="introvert, sensory sensitivities, I don't drink alcohol"/>
    <s v="Yes"/>
  </r>
  <r>
    <x v="0"/>
    <n v="48198829"/>
    <d v="2024-03-25T12:19:00"/>
    <s v="Morrel"/>
    <s v="Cabin Lodging | Early Bird"/>
    <s v="HARTFORDCAMP"/>
    <n v="299"/>
    <n v="314.77"/>
    <n v="15.77"/>
    <s v="Female"/>
    <d v="1984-09-14T00:00:00"/>
    <n v="39"/>
    <s v="Brooklyn"/>
    <s v="NY"/>
    <n v="11201"/>
    <s v="US"/>
    <s v="Confirm"/>
    <s v="M"/>
    <s v="Vegetarian"/>
    <m/>
    <s v="Female Cabin"/>
    <m/>
    <m/>
    <s v="Liat Schreiber"/>
    <s v="Reform"/>
    <m/>
    <m/>
    <m/>
    <m/>
    <s v="Yes"/>
    <m/>
    <m/>
    <m/>
    <m/>
    <m/>
    <m/>
    <m/>
    <m/>
    <m/>
    <m/>
    <m/>
    <m/>
    <m/>
    <m/>
    <m/>
    <m/>
    <m/>
    <m/>
    <m/>
    <m/>
    <m/>
    <m/>
    <m/>
    <m/>
    <m/>
    <m/>
    <m/>
    <m/>
    <m/>
    <m/>
    <m/>
    <m/>
    <m/>
    <s v="Yes"/>
    <m/>
    <m/>
    <m/>
    <m/>
    <m/>
    <m/>
    <s v="Yes"/>
    <m/>
    <s v="Crane Lake Camp"/>
    <s v="Sumner Lewis"/>
    <m/>
    <m/>
    <s v="No"/>
    <m/>
    <s v="No"/>
    <s v="Jewish Nonprofit"/>
    <s v="I love to craft"/>
    <s v="Chocolate"/>
    <m/>
    <s v="Yes"/>
  </r>
  <r>
    <x v="0"/>
    <n v="46905892"/>
    <d v="2024-04-25T14:55:00"/>
    <s v="Morrison"/>
    <s v="Private Lodging - Single | Early Bird"/>
    <m/>
    <n v="895"/>
    <n v="931.49"/>
    <n v="36.5"/>
    <s v="Male"/>
    <d v="1990-01-09T00:00:00"/>
    <n v="34"/>
    <s v="Lynn"/>
    <s v="MA"/>
    <n v="1902"/>
    <s v="US"/>
    <s v="Confirm"/>
    <s v="XXL"/>
    <s v="None"/>
    <m/>
    <m/>
    <m/>
    <m/>
    <m/>
    <s v="Culturally Jewish"/>
    <m/>
    <s v="Yes"/>
    <m/>
    <m/>
    <m/>
    <m/>
    <m/>
    <m/>
    <m/>
    <m/>
    <m/>
    <m/>
    <s v="Yes"/>
    <m/>
    <m/>
    <m/>
    <m/>
    <m/>
    <m/>
    <m/>
    <m/>
    <m/>
    <m/>
    <m/>
    <m/>
    <m/>
    <m/>
    <m/>
    <m/>
    <m/>
    <m/>
    <m/>
    <m/>
    <m/>
    <m/>
    <m/>
    <m/>
    <m/>
    <m/>
    <m/>
    <m/>
    <m/>
    <m/>
    <m/>
    <s v="Yes"/>
    <m/>
    <m/>
    <s v="Kinder Ring"/>
    <m/>
    <m/>
    <m/>
    <s v="Yes"/>
    <s v="I am a type 2 Diabetic"/>
    <s v="No"/>
    <s v="Systems Engineer"/>
    <s v="I enjoy running"/>
    <s v="gummie bears"/>
    <m/>
    <s v="Yes"/>
  </r>
  <r>
    <x v="0"/>
    <n v="48021795"/>
    <d v="2024-04-29T15:33:00"/>
    <s v="Niad"/>
    <s v="Private Lodging - Double | Early Bird"/>
    <m/>
    <n v="825"/>
    <n v="859.34"/>
    <n v="34.340000000000003"/>
    <s v="Female"/>
    <d v="1993-06-21T00:00:00"/>
    <n v="30"/>
    <s v="Waltham"/>
    <s v="MA"/>
    <n v="2451"/>
    <s v="US"/>
    <s v="Confirm"/>
    <s v="S"/>
    <s v="None"/>
    <m/>
    <m/>
    <s v="Yes"/>
    <s v="Lauren Rubin"/>
    <m/>
    <s v="Conservative"/>
    <m/>
    <s v="Yes"/>
    <m/>
    <s v="Yes"/>
    <m/>
    <m/>
    <m/>
    <m/>
    <m/>
    <m/>
    <m/>
    <s v="Yes"/>
    <m/>
    <m/>
    <m/>
    <m/>
    <m/>
    <m/>
    <m/>
    <m/>
    <m/>
    <m/>
    <m/>
    <m/>
    <m/>
    <m/>
    <m/>
    <m/>
    <m/>
    <m/>
    <m/>
    <m/>
    <m/>
    <m/>
    <m/>
    <m/>
    <m/>
    <m/>
    <m/>
    <m/>
    <m/>
    <m/>
    <m/>
    <m/>
    <s v="Yes"/>
    <s v="Yes"/>
    <m/>
    <s v="Camp Louise and Capital Camps in MD/PA"/>
    <m/>
    <m/>
    <m/>
    <s v="No"/>
    <m/>
    <s v="Yes, send me more info"/>
    <s v="Writer"/>
    <s v="I’ve been to every NBA arena"/>
    <s v="S’mores"/>
    <s v="It will be my birthday during session two so I’m excited to celebrate :)"/>
    <s v="Yes"/>
  </r>
  <r>
    <x v="0"/>
    <n v="48177428"/>
    <d v="2024-04-30T18:54:00"/>
    <s v="Nielsen"/>
    <s v="Cabin Lodging | Early Bird"/>
    <m/>
    <n v="599"/>
    <n v="625.42999999999995"/>
    <n v="26.43"/>
    <s v="Male"/>
    <d v="1989-07-28T00:00:00"/>
    <n v="34"/>
    <s v="Saddle River"/>
    <s v="NJ"/>
    <n v="7458"/>
    <s v="US"/>
    <s v="Confirm"/>
    <s v="M"/>
    <s v="Other"/>
    <s v="Allergic to pepper, not black pepper but the vegetable/chili anything/red seasoning on things"/>
    <s v="Co-ed Cabin"/>
    <m/>
    <m/>
    <s v="Scott Bartman"/>
    <s v="I'm not Jewish"/>
    <s v="Went to Tribal ski trip and had a nice time"/>
    <s v="Yes"/>
    <m/>
    <m/>
    <m/>
    <m/>
    <m/>
    <m/>
    <m/>
    <m/>
    <m/>
    <s v="Yes"/>
    <m/>
    <m/>
    <m/>
    <m/>
    <m/>
    <m/>
    <m/>
    <m/>
    <m/>
    <m/>
    <m/>
    <m/>
    <m/>
    <m/>
    <m/>
    <m/>
    <m/>
    <m/>
    <m/>
    <m/>
    <m/>
    <m/>
    <m/>
    <m/>
    <m/>
    <m/>
    <m/>
    <m/>
    <m/>
    <m/>
    <m/>
    <m/>
    <m/>
    <s v="Yes"/>
    <m/>
    <s v="Camp Becket"/>
    <m/>
    <m/>
    <m/>
    <s v="No"/>
    <m/>
    <s v="Yes, send me more info"/>
    <s v="Online sales"/>
    <s v="I've been going to latin dance classes for the last year!"/>
    <s v="Popcorn"/>
    <m/>
    <s v="Yes"/>
  </r>
  <r>
    <x v="0"/>
    <n v="48216921"/>
    <d v="2024-04-28T21:20:00"/>
    <s v="Paul"/>
    <s v="Cabin Lodging | Early Bird"/>
    <s v="REPAIREXCHANGE749"/>
    <n v="599"/>
    <n v="0"/>
    <n v="0"/>
    <s v="Male"/>
    <d v="1982-01-21T00:00:00"/>
    <n v="42"/>
    <s v="Philadelphia"/>
    <s v="PA"/>
    <n v="19107"/>
    <s v="US"/>
    <s v="Confirm"/>
    <s v="XXL"/>
    <s v="Vegetarian"/>
    <m/>
    <s v="Male Cabin"/>
    <m/>
    <m/>
    <m/>
    <s v="Just Jewish"/>
    <m/>
    <s v="Yes"/>
    <s v="Yes"/>
    <s v="Yes"/>
    <m/>
    <s v="Yes"/>
    <m/>
    <s v="Yes"/>
    <m/>
    <m/>
    <s v="Yes"/>
    <m/>
    <s v="Yes"/>
    <m/>
    <m/>
    <m/>
    <m/>
    <m/>
    <m/>
    <m/>
    <m/>
    <m/>
    <m/>
    <m/>
    <m/>
    <m/>
    <m/>
    <m/>
    <m/>
    <m/>
    <m/>
    <m/>
    <m/>
    <m/>
    <m/>
    <m/>
    <m/>
    <m/>
    <m/>
    <m/>
    <m/>
    <m/>
    <m/>
    <m/>
    <m/>
    <m/>
    <s v="Yes"/>
    <m/>
    <m/>
    <m/>
    <m/>
    <s v="No"/>
    <m/>
    <s v="No"/>
    <s v="Political Campaigns"/>
    <s v="Been to Iceland."/>
    <s v="Cereal"/>
    <m/>
    <s v="Yes"/>
  </r>
  <r>
    <x v="0"/>
    <n v="48157622"/>
    <d v="2024-04-18T10:04:00"/>
    <s v="Pearl"/>
    <s v="Cabin Lodging | Early Bird"/>
    <m/>
    <n v="599"/>
    <n v="625.13"/>
    <n v="18.43"/>
    <s v="Male"/>
    <d v="1989-10-03T00:00:00"/>
    <n v="34"/>
    <s v="Boston"/>
    <s v="MA"/>
    <n v="2114"/>
    <s v="US"/>
    <s v="Confirm"/>
    <s v="M"/>
    <s v="None"/>
    <m/>
    <s v="Male Cabin"/>
    <m/>
    <m/>
    <m/>
    <s v="Culturally Jewish"/>
    <m/>
    <m/>
    <m/>
    <m/>
    <s v="Yes"/>
    <m/>
    <m/>
    <m/>
    <m/>
    <m/>
    <m/>
    <m/>
    <m/>
    <m/>
    <m/>
    <m/>
    <m/>
    <m/>
    <m/>
    <m/>
    <m/>
    <m/>
    <m/>
    <m/>
    <m/>
    <m/>
    <m/>
    <m/>
    <m/>
    <m/>
    <m/>
    <m/>
    <m/>
    <m/>
    <m/>
    <m/>
    <m/>
    <m/>
    <m/>
    <m/>
    <m/>
    <m/>
    <s v="Yes"/>
    <m/>
    <m/>
    <m/>
    <s v="Yes"/>
    <m/>
    <m/>
    <s v="None"/>
    <m/>
    <s v="No"/>
    <m/>
    <s v="Yes, send me more info"/>
    <s v="I am a medical receptionist."/>
    <s v="I am ambidextrous."/>
    <s v="Ice cream."/>
    <s v="I am looking forward to learning more about Jewish culture."/>
    <s v="Yes"/>
  </r>
  <r>
    <x v="0"/>
    <n v="47772321"/>
    <d v="2024-04-07T20:41:00"/>
    <s v="Pomerantz"/>
    <s v="Cabin Lodging | Early Bird"/>
    <m/>
    <n v="599"/>
    <n v="625.13"/>
    <n v="18.43"/>
    <s v="Female"/>
    <d v="1992-09-13T00:00:00"/>
    <n v="31"/>
    <s v="New York"/>
    <s v="NY"/>
    <n v="10022"/>
    <s v="US"/>
    <s v="Confirm"/>
    <s v="S"/>
    <s v="None"/>
    <m/>
    <s v="Female Cabin"/>
    <m/>
    <m/>
    <m/>
    <s v="Conservative"/>
    <m/>
    <s v="Yes"/>
    <m/>
    <m/>
    <m/>
    <m/>
    <m/>
    <m/>
    <m/>
    <m/>
    <m/>
    <m/>
    <s v="Yes"/>
    <m/>
    <m/>
    <m/>
    <m/>
    <m/>
    <m/>
    <m/>
    <m/>
    <m/>
    <m/>
    <m/>
    <m/>
    <m/>
    <m/>
    <m/>
    <m/>
    <m/>
    <m/>
    <m/>
    <m/>
    <m/>
    <m/>
    <m/>
    <m/>
    <m/>
    <m/>
    <m/>
    <m/>
    <m/>
    <m/>
    <m/>
    <m/>
    <s v="Yes"/>
    <m/>
    <s v="Camp Ramah"/>
    <m/>
    <m/>
    <m/>
    <s v="No"/>
    <m/>
    <s v="No"/>
    <s v="EMT"/>
    <s v="I have 2 adorable dogs"/>
    <s v="Fritos"/>
    <s v="I’m also going on the Trybal Israel trip in June!"/>
    <s v="Yes"/>
  </r>
  <r>
    <x v="0"/>
    <n v="47367387"/>
    <d v="2024-03-25T22:04:00"/>
    <s v="Ritchie"/>
    <s v="Private Lodging - Double | Early Bird"/>
    <m/>
    <n v="825"/>
    <n v="859.34"/>
    <n v="34.340000000000003"/>
    <s v="Male"/>
    <d v="1986-04-24T00:00:00"/>
    <n v="37"/>
    <s v="Long Beach"/>
    <s v="NY"/>
    <n v="11561"/>
    <s v="US"/>
    <s v="Confirm"/>
    <s v="L"/>
    <s v="G;uten-free"/>
    <m/>
    <m/>
    <s v="No, assign me an awesome roommate!"/>
    <m/>
    <m/>
    <s v="Just Jewish"/>
    <m/>
    <s v="Yes"/>
    <m/>
    <m/>
    <m/>
    <m/>
    <m/>
    <s v="Yes"/>
    <m/>
    <s v="Yes"/>
    <m/>
    <s v="Yes"/>
    <m/>
    <m/>
    <m/>
    <m/>
    <m/>
    <m/>
    <m/>
    <m/>
    <m/>
    <m/>
    <m/>
    <m/>
    <m/>
    <m/>
    <m/>
    <m/>
    <m/>
    <m/>
    <m/>
    <m/>
    <m/>
    <m/>
    <m/>
    <m/>
    <m/>
    <m/>
    <m/>
    <m/>
    <m/>
    <m/>
    <m/>
    <m/>
    <s v="Yes"/>
    <s v="Yes"/>
    <m/>
    <s v="Camp Lakeland, Franklinville NY"/>
    <m/>
    <m/>
    <m/>
    <s v="No"/>
    <m/>
    <s v="Yes, send me more info"/>
    <s v="Psychologist"/>
    <s v="I'm getting into jam skating"/>
    <s v="mochi"/>
    <m/>
    <s v="Yes"/>
  </r>
  <r>
    <x v="0"/>
    <n v="46921954"/>
    <d v="2024-03-27T09:49:00"/>
    <s v="Rosen"/>
    <s v="Cabin Lodging | Early Bird"/>
    <s v="PRESALE24"/>
    <n v="599"/>
    <n v="0"/>
    <n v="0"/>
    <s v="Female"/>
    <d v="1988-10-20T00:00:00"/>
    <n v="35"/>
    <s v="Brighton"/>
    <s v="MA"/>
    <n v="2135"/>
    <s v="US"/>
    <s v="Confirm"/>
    <s v="M"/>
    <s v="None"/>
    <m/>
    <s v="Co-ed Cabin"/>
    <m/>
    <m/>
    <s v="Alicia Rosenbaum"/>
    <s v="Just Jewish"/>
    <m/>
    <s v="Yes"/>
    <s v="Yes"/>
    <m/>
    <m/>
    <m/>
    <m/>
    <m/>
    <m/>
    <m/>
    <m/>
    <m/>
    <s v="Yes"/>
    <m/>
    <m/>
    <m/>
    <m/>
    <m/>
    <m/>
    <m/>
    <m/>
    <m/>
    <m/>
    <m/>
    <m/>
    <m/>
    <m/>
    <m/>
    <m/>
    <m/>
    <m/>
    <m/>
    <m/>
    <m/>
    <m/>
    <m/>
    <m/>
    <m/>
    <m/>
    <m/>
    <m/>
    <m/>
    <m/>
    <m/>
    <s v="Yes"/>
    <m/>
    <m/>
    <s v="Camp Horizon"/>
    <m/>
    <m/>
    <m/>
    <s v="No"/>
    <m/>
    <s v="No"/>
    <s v="Product surveillance for surgical devices"/>
    <s v="I have over 50 pairs of shoes."/>
    <s v="Fruit Snacks"/>
    <s v="T-Shirt size is for Women's fitted only, anything regular would be a small"/>
    <s v="Yes"/>
  </r>
  <r>
    <x v="0"/>
    <n v="46954258"/>
    <d v="2024-04-16T23:52:00"/>
    <s v="Rosenbaum"/>
    <s v="Cabin Lodging | Early Bird"/>
    <s v="PRESALE24"/>
    <n v="599"/>
    <n v="0"/>
    <n v="0"/>
    <s v="Female"/>
    <d v="1986-04-25T00:00:00"/>
    <n v="37"/>
    <s v="Washington"/>
    <s v="DC"/>
    <n v="20001"/>
    <s v="US"/>
    <s v="Confirm"/>
    <s v="M"/>
    <s v="None"/>
    <m/>
    <s v="Co-ed Cabin"/>
    <m/>
    <m/>
    <s v="Sarah Rosen"/>
    <s v="Reform"/>
    <m/>
    <s v="Yes"/>
    <m/>
    <m/>
    <m/>
    <m/>
    <m/>
    <m/>
    <m/>
    <m/>
    <m/>
    <s v="Yes"/>
    <m/>
    <m/>
    <m/>
    <m/>
    <m/>
    <m/>
    <m/>
    <m/>
    <m/>
    <m/>
    <m/>
    <m/>
    <s v="Yes"/>
    <m/>
    <m/>
    <m/>
    <m/>
    <m/>
    <m/>
    <m/>
    <m/>
    <m/>
    <m/>
    <m/>
    <m/>
    <m/>
    <m/>
    <m/>
    <m/>
    <m/>
    <m/>
    <m/>
    <m/>
    <m/>
    <s v="Yes"/>
    <m/>
    <m/>
    <m/>
    <m/>
    <s v="No"/>
    <m/>
    <s v="Maybe"/>
    <s v="Birthright coordinator"/>
    <s v="I play in a pickleball league."/>
    <s v="Soft pretzel"/>
    <m/>
    <s v="Yes"/>
  </r>
  <r>
    <x v="0"/>
    <n v="47729407"/>
    <d v="2024-03-25T18:18:00"/>
    <s v="Roth"/>
    <s v="Private Lodging - Double | Early Bird"/>
    <m/>
    <n v="825"/>
    <n v="859.34"/>
    <n v="34.340000000000003"/>
    <s v="Male"/>
    <d v="1996-07-18T00:00:00"/>
    <n v="28"/>
    <s v="Vienna"/>
    <s v="VA"/>
    <n v="22182"/>
    <s v="US"/>
    <s v="Confirm"/>
    <s v="M"/>
    <s v="Other"/>
    <s v="kosher-style. no mixing milk and meat, nor pork, no shellfish"/>
    <m/>
    <s v="No, assign me an awesome roommate!"/>
    <m/>
    <m/>
    <s v="Reform"/>
    <m/>
    <m/>
    <m/>
    <m/>
    <s v="Yes"/>
    <m/>
    <m/>
    <m/>
    <m/>
    <m/>
    <m/>
    <m/>
    <m/>
    <m/>
    <m/>
    <m/>
    <m/>
    <m/>
    <m/>
    <m/>
    <m/>
    <m/>
    <m/>
    <m/>
    <m/>
    <m/>
    <m/>
    <m/>
    <m/>
    <m/>
    <m/>
    <m/>
    <m/>
    <m/>
    <m/>
    <m/>
    <m/>
    <m/>
    <s v="Yes"/>
    <m/>
    <m/>
    <m/>
    <s v="Yes"/>
    <m/>
    <s v="Yes"/>
    <m/>
    <m/>
    <s v="Rivers camp (not a Jewish camp)"/>
    <s v="various"/>
    <s v="various"/>
    <m/>
    <s v="No"/>
    <m/>
    <s v="No"/>
    <s v="Head of Autonomy Technology (robotics and artificial intelligence)"/>
    <s v="I've competed in the Quidditch World Cup"/>
    <s v="tamarinds, girl scout cookies, or salmon"/>
    <m/>
    <s v="Yes"/>
  </r>
  <r>
    <x v="0"/>
    <n v="46916442"/>
    <d v="2024-06-01T16:16:00"/>
    <s v="Rubin"/>
    <s v="Private Lodging - Double | Early Bird"/>
    <s v="LAURENR"/>
    <n v="226"/>
    <n v="237.27"/>
    <n v="11.28"/>
    <s v="Female"/>
    <d v="1986-01-16T00:00:00"/>
    <n v="38"/>
    <s v="Morristown"/>
    <s v="NJ"/>
    <n v="7960"/>
    <s v="US"/>
    <s v="Confirm"/>
    <s v="M"/>
    <s v="None"/>
    <m/>
    <m/>
    <s v="Yes"/>
    <s v="Name TBD, working on recruiting someone with a similar sleep schedule!"/>
    <m/>
    <s v="Culturally Jewish"/>
    <m/>
    <s v="Yes"/>
    <m/>
    <s v="Yes"/>
    <m/>
    <m/>
    <m/>
    <m/>
    <m/>
    <m/>
    <m/>
    <s v="Yes"/>
    <m/>
    <m/>
    <m/>
    <m/>
    <m/>
    <m/>
    <m/>
    <m/>
    <m/>
    <m/>
    <m/>
    <m/>
    <m/>
    <m/>
    <m/>
    <m/>
    <m/>
    <m/>
    <m/>
    <m/>
    <m/>
    <m/>
    <m/>
    <m/>
    <m/>
    <m/>
    <m/>
    <m/>
    <m/>
    <m/>
    <m/>
    <m/>
    <m/>
    <s v="Yes"/>
    <m/>
    <s v="Camp Laurelwood"/>
    <m/>
    <m/>
    <m/>
    <s v="Yes"/>
    <s v="I have a heart condition. I don't require any special treatment, I manage it on my own, I just can't really do the cardio activities during color war. I would gladly pay extra to be in own room to control sleep if a private room opens up closer to camp!"/>
    <s v="Yes, send me more info"/>
    <s v="Vice President of a Uniform an international company that makes custom uniforms for theme parks, schools, hotels, cruise ships, etc. Anything ranging from logo'd items to crazy costumes worn by actors around the world."/>
    <s v="I'm a Harry Potter geek!"/>
    <s v="Varies with my mood and sobriety level, but I'm always happy to reach for something with chocolate and a handful of chips!"/>
    <s v="I'm excited to return to camp this summer!!"/>
    <s v="Yes"/>
  </r>
  <r>
    <x v="0"/>
    <n v="46907514"/>
    <d v="2024-03-27T00:16:00"/>
    <s v="Sabel"/>
    <s v="Private Lodging - Single | Early Bird"/>
    <m/>
    <n v="895"/>
    <n v="931.49"/>
    <n v="36.5"/>
    <s v="Female"/>
    <d v="1991-11-01T00:00:00"/>
    <n v="32"/>
    <s v="Philadelphia"/>
    <s v="PA"/>
    <n v="19107"/>
    <s v="US"/>
    <s v="Confirm"/>
    <s v="M"/>
    <s v="Gluten-free"/>
    <m/>
    <m/>
    <m/>
    <m/>
    <m/>
    <s v="Culturally Jewish"/>
    <m/>
    <s v="Yes"/>
    <m/>
    <m/>
    <m/>
    <m/>
    <m/>
    <m/>
    <m/>
    <m/>
    <m/>
    <s v="Yes"/>
    <m/>
    <m/>
    <m/>
    <m/>
    <m/>
    <m/>
    <m/>
    <m/>
    <m/>
    <m/>
    <m/>
    <m/>
    <m/>
    <m/>
    <m/>
    <m/>
    <m/>
    <m/>
    <m/>
    <m/>
    <m/>
    <m/>
    <m/>
    <m/>
    <m/>
    <m/>
    <m/>
    <m/>
    <m/>
    <m/>
    <m/>
    <m/>
    <s v="Yes"/>
    <s v="Yes"/>
    <m/>
    <s v="Satmar, Hadar, Chai Sura,"/>
    <m/>
    <m/>
    <m/>
    <s v="No"/>
    <m/>
    <s v="Yes, send me more info"/>
    <s v="VP of Finance"/>
    <s v="I have a nephew my age"/>
    <s v="Dark Chocolate anything"/>
    <m/>
    <s v="Yes"/>
  </r>
  <r>
    <x v="0"/>
    <n v="46950489"/>
    <d v="2024-05-06T23:01:00"/>
    <s v="Sadoff"/>
    <s v="Cabin Lodging | Early Bird"/>
    <s v="PRESALE24"/>
    <n v="599"/>
    <n v="0"/>
    <n v="0"/>
    <s v="Female"/>
    <d v="1990-10-18T00:00:00"/>
    <n v="32"/>
    <s v="West Hartford"/>
    <s v="CT"/>
    <n v="6117"/>
    <s v="US"/>
    <s v="Confirm"/>
    <s v="L"/>
    <s v="Other"/>
    <s v="Monosodium Glutamate (MSG)"/>
    <s v="No preference"/>
    <m/>
    <m/>
    <m/>
    <s v="Conservative"/>
    <m/>
    <s v="Yes"/>
    <m/>
    <m/>
    <m/>
    <m/>
    <m/>
    <m/>
    <m/>
    <m/>
    <m/>
    <s v="Yes"/>
    <m/>
    <m/>
    <m/>
    <m/>
    <m/>
    <m/>
    <m/>
    <m/>
    <m/>
    <m/>
    <m/>
    <m/>
    <m/>
    <m/>
    <m/>
    <m/>
    <m/>
    <m/>
    <m/>
    <m/>
    <m/>
    <m/>
    <m/>
    <m/>
    <m/>
    <m/>
    <m/>
    <m/>
    <m/>
    <m/>
    <m/>
    <m/>
    <m/>
    <s v="Yes"/>
    <m/>
    <s v="Hertzl, Young Judea, Interlaken JCC"/>
    <m/>
    <m/>
    <m/>
    <s v="No"/>
    <m/>
    <s v="Maybe"/>
    <s v="Chemical Engineer"/>
    <s v="Homebrewer"/>
    <s v="Icecream"/>
    <m/>
    <s v="Yes"/>
  </r>
  <r>
    <x v="0"/>
    <n v="48437996"/>
    <d v="2024-03-27T09:25:00"/>
    <s v="Salitsky"/>
    <s v="Cabin Lodging | Standard"/>
    <m/>
    <n v="725"/>
    <n v="755.84"/>
    <n v="30.84"/>
    <s v="Female"/>
    <d v="1997-11-23T00:00:00"/>
    <n v="26"/>
    <s v="New York"/>
    <s v="NY"/>
    <n v="10024"/>
    <s v="US"/>
    <s v="Confirm"/>
    <s v="M"/>
    <s v="None"/>
    <m/>
    <s v="No preference"/>
    <m/>
    <m/>
    <m/>
    <s v="Culturally Jewish"/>
    <m/>
    <s v="Yes"/>
    <s v="Yes"/>
    <m/>
    <m/>
    <m/>
    <s v="Yes"/>
    <m/>
    <m/>
    <m/>
    <m/>
    <m/>
    <m/>
    <m/>
    <m/>
    <m/>
    <m/>
    <m/>
    <m/>
    <m/>
    <m/>
    <m/>
    <m/>
    <m/>
    <m/>
    <m/>
    <m/>
    <m/>
    <m/>
    <m/>
    <m/>
    <m/>
    <m/>
    <m/>
    <m/>
    <m/>
    <m/>
    <m/>
    <m/>
    <m/>
    <m/>
    <m/>
    <m/>
    <m/>
    <s v="Yes"/>
    <s v="Yes"/>
    <m/>
    <s v="Camp Ramah of New England, Camp Micah, French Woods for the Performing Arts and likely a few others I can't remember!"/>
    <m/>
    <m/>
    <m/>
    <s v="No"/>
    <m/>
    <s v="No"/>
    <s v="Writer"/>
    <s v="I have an unparalleled ability to remember tunes, song lyrics and who songs are by/what their title is. It makes me great at trivia and Name The Tune."/>
    <s v="It depends on my mood but lately Golden Grahams with almond milk. I also won't ever say no to ice cream or anything sweet and salty."/>
    <s v="If I get a spot in the first session, this is my second choice so please refund this if so! If not, I am more than happy to attend this session. And I'd love information on car pooling from Boston/Worcester if that is still something that is done!"/>
    <s v="Yes"/>
  </r>
  <r>
    <x v="0"/>
    <n v="46953718"/>
    <d v="2024-04-30T22:15:00"/>
    <s v="SANDERSON"/>
    <s v="Cabin Lodging | Early Bird"/>
    <m/>
    <n v="599"/>
    <n v="625.13"/>
    <n v="26.14"/>
    <s v="Female"/>
    <d v="1990-03-30T00:00:00"/>
    <n v="33"/>
    <s v="Fayetteville"/>
    <s v="NY"/>
    <n v="13066"/>
    <s v="US"/>
    <s v="Confirm"/>
    <s v="S"/>
    <s v="None"/>
    <m/>
    <s v="Female Cabin"/>
    <m/>
    <m/>
    <s v="Ilena Kubit"/>
    <s v="Reform"/>
    <m/>
    <s v="Yes"/>
    <m/>
    <s v="Yes"/>
    <m/>
    <m/>
    <m/>
    <m/>
    <m/>
    <m/>
    <m/>
    <m/>
    <s v="Yes"/>
    <m/>
    <m/>
    <m/>
    <m/>
    <m/>
    <m/>
    <m/>
    <m/>
    <m/>
    <m/>
    <m/>
    <m/>
    <m/>
    <m/>
    <m/>
    <m/>
    <m/>
    <m/>
    <m/>
    <m/>
    <m/>
    <m/>
    <m/>
    <m/>
    <m/>
    <m/>
    <m/>
    <m/>
    <m/>
    <m/>
    <m/>
    <m/>
    <s v="Yes"/>
    <m/>
    <s v="Camp Young Judaea, Amherst NH"/>
    <m/>
    <m/>
    <m/>
    <s v="No"/>
    <m/>
    <s v="No"/>
    <s v="CPA - Consulting"/>
    <s v="I've skied in 3 countries!"/>
    <s v="Chocolate"/>
    <m/>
    <s v="Yes"/>
  </r>
  <r>
    <x v="0"/>
    <n v="48223497"/>
    <d v="2024-04-30T18:33:00"/>
    <s v="Satok"/>
    <s v="Cabin Lodging | Early Bird"/>
    <m/>
    <n v="599"/>
    <n v="625.42999999999995"/>
    <n v="26.43"/>
    <s v="Male"/>
    <d v="1990-06-03T00:00:00"/>
    <n v="33"/>
    <s v="New York"/>
    <s v="NY"/>
    <n v="10123"/>
    <s v="US"/>
    <s v="Confirm"/>
    <s v="L"/>
    <s v="None"/>
    <m/>
    <s v="Male Cabin"/>
    <m/>
    <m/>
    <m/>
    <s v="Just Jewish"/>
    <m/>
    <m/>
    <m/>
    <m/>
    <s v="Yes"/>
    <m/>
    <m/>
    <m/>
    <m/>
    <m/>
    <m/>
    <m/>
    <m/>
    <m/>
    <m/>
    <m/>
    <m/>
    <m/>
    <m/>
    <m/>
    <m/>
    <m/>
    <m/>
    <m/>
    <m/>
    <m/>
    <m/>
    <m/>
    <m/>
    <m/>
    <m/>
    <m/>
    <m/>
    <m/>
    <m/>
    <m/>
    <m/>
    <m/>
    <m/>
    <m/>
    <m/>
    <s v="Yes"/>
    <m/>
    <m/>
    <s v="Yes"/>
    <s v="Yes"/>
    <m/>
    <s v="Camp Kadimah, URJ Kutz Camp, Camp Ramah Canada"/>
    <m/>
    <m/>
    <m/>
    <s v="No"/>
    <m/>
    <s v="Yes, send me more info"/>
    <m/>
    <m/>
    <m/>
    <m/>
    <s v="Yes"/>
  </r>
  <r>
    <x v="0"/>
    <n v="46910775"/>
    <d v="2024-03-25T14:53:00"/>
    <s v="Schneider"/>
    <s v="Cabin Lodging | Early Bird"/>
    <m/>
    <n v="599"/>
    <n v="625.13"/>
    <n v="26.14"/>
    <s v="Male"/>
    <d v="1995-05-23T00:00:00"/>
    <n v="29"/>
    <s v="Austin"/>
    <s v="TX"/>
    <n v="78757"/>
    <s v="US"/>
    <s v="Confirm"/>
    <s v="L"/>
    <s v="None"/>
    <m/>
    <s v="Co-ed Cabin"/>
    <m/>
    <m/>
    <s v="Can I add this at later time? For now, preference is a Co-ed bunk with those of similar ages please. &amp; Prefer one where there’s not a large one or two groups of friends who’ve requested to be together. (Depending on group, that can feel isolating at times)."/>
    <s v="Culturally Jewish"/>
    <m/>
    <s v="Yes"/>
    <s v="Yes"/>
    <s v="Yes"/>
    <m/>
    <m/>
    <s v="Yes"/>
    <s v="Yes"/>
    <m/>
    <m/>
    <m/>
    <s v="Yes"/>
    <m/>
    <m/>
    <m/>
    <m/>
    <m/>
    <m/>
    <m/>
    <m/>
    <m/>
    <m/>
    <m/>
    <m/>
    <m/>
    <m/>
    <m/>
    <m/>
    <m/>
    <m/>
    <m/>
    <m/>
    <m/>
    <m/>
    <m/>
    <m/>
    <m/>
    <m/>
    <m/>
    <m/>
    <m/>
    <m/>
    <m/>
    <m/>
    <s v="Yes"/>
    <s v="Yes"/>
    <m/>
    <s v="Attended a huge variety of day camps, travel, sports, wilderness, &amp; academic camps, but too numerous to mention all! But none were “strictly” Jewish camps."/>
    <m/>
    <m/>
    <m/>
    <s v="No"/>
    <m/>
    <s v="Yes, send me more info"/>
    <s v="International Proprietary Trader (finance/tech fields)"/>
    <s v="Consider myself a foodie and ate at a “Bugsgiving” in Brooklyn where EVERY course contained a different insect!"/>
    <s v="Ice cream and cookies!"/>
    <s v="Had a great time last summer (with a good bunk) &amp; looking forward to doing again! 🤗 Also, pls note that credit card has different first name (Adam.. who is my dad), but registrant’s name for camp/bus from NY should be mine (Eric)."/>
    <s v="Yes"/>
  </r>
  <r>
    <x v="0"/>
    <n v="48475075"/>
    <d v="2024-05-08T11:20:00"/>
    <s v="Shaner"/>
    <s v="Private Lodging - Double | Standard"/>
    <s v="JORDANSINAI"/>
    <n v="925"/>
    <n v="0"/>
    <n v="0"/>
    <s v="Male"/>
    <d v="1997-05-12T00:00:00"/>
    <n v="26"/>
    <s v="Tampa"/>
    <s v="FL"/>
    <n v="33609"/>
    <s v="CA"/>
    <s v="Confirm"/>
    <s v="XL"/>
    <s v="Vegetarian, Kosher"/>
    <m/>
    <m/>
    <s v="No, assign me an awesome roommate!"/>
    <m/>
    <m/>
    <s v="Reform"/>
    <m/>
    <m/>
    <s v="Yes"/>
    <m/>
    <m/>
    <m/>
    <m/>
    <m/>
    <m/>
    <m/>
    <m/>
    <m/>
    <m/>
    <m/>
    <m/>
    <m/>
    <m/>
    <m/>
    <m/>
    <m/>
    <m/>
    <m/>
    <m/>
    <m/>
    <m/>
    <m/>
    <m/>
    <m/>
    <m/>
    <m/>
    <m/>
    <m/>
    <m/>
    <m/>
    <m/>
    <m/>
    <m/>
    <m/>
    <s v="Yes"/>
    <m/>
    <m/>
    <m/>
    <m/>
    <m/>
    <s v="Yes"/>
    <s v="Yes"/>
    <m/>
    <s v="Schwayder in Colorado, Newman in California, Camp George in Ontario"/>
    <s v="Jen Queen, Jeff Stombaugh"/>
    <m/>
    <m/>
    <s v="No"/>
    <m/>
    <s v="Maybe"/>
    <s v="Rabbi at Temple Sinai Congregation of Toronto"/>
    <s v="Met my wife in Memphis, Tennessee"/>
    <s v="french fries and coffee"/>
    <s v="So excited to be there this summer."/>
    <s v="Yes"/>
  </r>
  <r>
    <x v="0"/>
    <n v="46947333"/>
    <d v="2024-03-26T21:17:00"/>
    <s v="Shapiro"/>
    <s v="Cabin Lodging | Early Bird"/>
    <s v="PRESALE24"/>
    <n v="599"/>
    <n v="0"/>
    <n v="0"/>
    <s v="Female"/>
    <d v="1992-04-07T00:00:00"/>
    <n v="32"/>
    <s v="New York"/>
    <s v="NY"/>
    <n v="10024"/>
    <s v="US"/>
    <s v="Confirm"/>
    <s v="L"/>
    <s v="Other"/>
    <s v="Not strictly kosher, but no pork no shellfish etc. and limited mixing of meat and dairy"/>
    <s v="Female Cabin"/>
    <m/>
    <m/>
    <s v="Sarah Glaser"/>
    <s v="Conservative"/>
    <m/>
    <s v="Yes"/>
    <m/>
    <m/>
    <m/>
    <m/>
    <m/>
    <m/>
    <m/>
    <m/>
    <m/>
    <m/>
    <s v="Yes"/>
    <m/>
    <m/>
    <m/>
    <m/>
    <m/>
    <m/>
    <m/>
    <m/>
    <m/>
    <m/>
    <m/>
    <m/>
    <m/>
    <m/>
    <m/>
    <m/>
    <m/>
    <m/>
    <m/>
    <m/>
    <m/>
    <m/>
    <m/>
    <m/>
    <m/>
    <m/>
    <m/>
    <m/>
    <m/>
    <m/>
    <m/>
    <s v="Yes"/>
    <s v="Yes"/>
    <m/>
    <s v="Pocono Ridge, Summit"/>
    <m/>
    <m/>
    <m/>
    <s v="No"/>
    <m/>
    <s v="Yes, send me more info"/>
    <s v="Program Manager @ Healthcare Tech Co"/>
    <s v="I recently became an Austrian citizen"/>
    <s v="Popcorn with olive oil, salt and pepper"/>
    <m/>
    <s v="Yes"/>
  </r>
  <r>
    <x v="0"/>
    <n v="46910559"/>
    <d v="2024-03-25T14:47:00"/>
    <s v="Shapsis"/>
    <s v="Cabin Lodging | Early Bird"/>
    <m/>
    <n v="599"/>
    <n v="625.13"/>
    <n v="26.14"/>
    <s v="Female"/>
    <d v="1986-06-11T00:00:00"/>
    <n v="38"/>
    <s v="Atlanta"/>
    <s v="GA"/>
    <n v="30307"/>
    <s v="US"/>
    <s v="Confirm"/>
    <s v="M"/>
    <s v="None"/>
    <m/>
    <s v="Female Cabin"/>
    <m/>
    <m/>
    <m/>
    <s v="Culturally Jewish"/>
    <m/>
    <s v="Yes"/>
    <s v="Yes"/>
    <s v="Yes"/>
    <m/>
    <m/>
    <m/>
    <m/>
    <s v="Yes"/>
    <s v="Yes"/>
    <m/>
    <s v="Yes"/>
    <m/>
    <m/>
    <m/>
    <m/>
    <m/>
    <m/>
    <m/>
    <m/>
    <m/>
    <m/>
    <m/>
    <m/>
    <m/>
    <m/>
    <m/>
    <m/>
    <m/>
    <m/>
    <m/>
    <m/>
    <m/>
    <m/>
    <m/>
    <m/>
    <m/>
    <m/>
    <m/>
    <m/>
    <m/>
    <m/>
    <m/>
    <m/>
    <m/>
    <m/>
    <s v="Yes"/>
    <m/>
    <m/>
    <m/>
    <m/>
    <s v="No"/>
    <m/>
    <s v="Yes, send me more info"/>
    <s v="Court Assistant"/>
    <s v="I had 23 hampsters when I was younger"/>
    <s v="Chocolate"/>
    <m/>
    <s v="Yes"/>
  </r>
  <r>
    <x v="0"/>
    <n v="48338993"/>
    <d v="2024-05-03T22:03:00"/>
    <s v="Singer"/>
    <s v="Cabin Lodging | Early Bird"/>
    <m/>
    <n v="599"/>
    <n v="627.21"/>
    <n v="28.21"/>
    <s v="Female"/>
    <d v="1988-02-22T00:00:00"/>
    <n v="36"/>
    <s v="Jessup"/>
    <s v="MD"/>
    <n v="20794"/>
    <s v="US"/>
    <s v="Confirm"/>
    <s v="L"/>
    <s v="Other"/>
    <s v="Kosher style (no pork, shellfish) but not full kosher"/>
    <s v="No preference"/>
    <m/>
    <m/>
    <m/>
    <s v="Conservative"/>
    <m/>
    <m/>
    <s v="Yes"/>
    <m/>
    <m/>
    <m/>
    <m/>
    <m/>
    <m/>
    <m/>
    <m/>
    <m/>
    <m/>
    <m/>
    <m/>
    <m/>
    <m/>
    <m/>
    <m/>
    <m/>
    <m/>
    <m/>
    <m/>
    <m/>
    <m/>
    <m/>
    <m/>
    <m/>
    <m/>
    <m/>
    <m/>
    <m/>
    <m/>
    <s v="Yes"/>
    <m/>
    <m/>
    <m/>
    <m/>
    <m/>
    <m/>
    <m/>
    <m/>
    <m/>
    <m/>
    <m/>
    <s v="Yes"/>
    <m/>
    <s v="Camp Emerson (1 summer only)"/>
    <m/>
    <m/>
    <m/>
    <s v="No"/>
    <m/>
    <s v="Maybe"/>
    <s v="Pediatrician (more specifically, Pediatric Hospital Medicine fellow)"/>
    <s v="I was a gymnast for 13 years and then a pole vaulter after that. I even got to compete pole vault in the Maccabiah Games in Israel in 2017!"/>
    <s v="Popcorn or mac &amp; cheese!!"/>
    <s v="Cabin preference is female or co-ed (not male) please!"/>
    <s v="Yes"/>
  </r>
  <r>
    <x v="0"/>
    <n v="48178739"/>
    <d v="2024-04-29T16:10:00"/>
    <s v="Stein"/>
    <s v="Cabin Lodging | Early Bird"/>
    <m/>
    <n v="599"/>
    <n v="625.42999999999995"/>
    <n v="26.43"/>
    <s v="Female"/>
    <d v="1994-05-06T00:00:00"/>
    <n v="29"/>
    <s v="Philadelphia"/>
    <s v="PA"/>
    <n v="19102"/>
    <s v="US"/>
    <s v="Confirm"/>
    <s v="L"/>
    <s v="Vegetarian, Other"/>
    <s v="I'm pescetarian - vegetarian plus I eat fish"/>
    <s v="No preference"/>
    <m/>
    <m/>
    <m/>
    <s v="Just Jewish"/>
    <m/>
    <m/>
    <m/>
    <m/>
    <s v="Yes"/>
    <m/>
    <m/>
    <m/>
    <m/>
    <m/>
    <m/>
    <m/>
    <m/>
    <m/>
    <m/>
    <m/>
    <m/>
    <m/>
    <m/>
    <m/>
    <m/>
    <m/>
    <m/>
    <m/>
    <m/>
    <m/>
    <m/>
    <m/>
    <m/>
    <m/>
    <m/>
    <m/>
    <m/>
    <m/>
    <m/>
    <m/>
    <m/>
    <m/>
    <m/>
    <m/>
    <m/>
    <m/>
    <m/>
    <s v="Yes"/>
    <s v="Yes"/>
    <s v="Yes"/>
    <m/>
    <s v="Isabella Friedman in the Berkshires, Camp Ramah"/>
    <m/>
    <m/>
    <s v="Email?"/>
    <s v="No"/>
    <m/>
    <s v="No"/>
    <s v="scrum master"/>
    <s v="I used to play roller derby, including in Tel Aviv!"/>
    <s v="Strawberries"/>
    <m/>
    <s v="Yes"/>
  </r>
  <r>
    <x v="0"/>
    <n v="48488324"/>
    <d v="2024-05-08T17:59:00"/>
    <s v="Stevens"/>
    <s v="Cabin Lodging | Standard"/>
    <s v="TORONTOCAMP"/>
    <n v="725"/>
    <n v="0"/>
    <n v="0"/>
    <s v="Female"/>
    <d v="1986-04-02T00:00:00"/>
    <n v="37"/>
    <s v="Sharon"/>
    <s v="MA"/>
    <s v="02067-2322"/>
    <s v="CA"/>
    <s v="Confirm"/>
    <s v="M"/>
    <s v="Gluten-free, Dairy-free"/>
    <m/>
    <s v="Female Cabin"/>
    <m/>
    <m/>
    <m/>
    <s v="Reform"/>
    <m/>
    <m/>
    <m/>
    <m/>
    <s v="Yes"/>
    <m/>
    <m/>
    <m/>
    <m/>
    <m/>
    <m/>
    <m/>
    <m/>
    <m/>
    <m/>
    <m/>
    <m/>
    <m/>
    <m/>
    <m/>
    <m/>
    <m/>
    <m/>
    <m/>
    <m/>
    <m/>
    <m/>
    <m/>
    <m/>
    <m/>
    <m/>
    <m/>
    <m/>
    <m/>
    <m/>
    <m/>
    <m/>
    <m/>
    <m/>
    <m/>
    <m/>
    <m/>
    <s v="Yes"/>
    <m/>
    <m/>
    <s v="Yes"/>
    <m/>
    <s v="URJ Camp George"/>
    <m/>
    <s v="Temple Sinai Toronto"/>
    <m/>
    <s v="Yes"/>
    <s v="Celiac disease; dairy allergy"/>
    <s v="No"/>
    <s v="Lawyer"/>
    <m/>
    <m/>
    <m/>
    <s v="Yes"/>
  </r>
  <r>
    <x v="0"/>
    <n v="47983807"/>
    <d v="2024-04-24T13:52:00"/>
    <s v="Weinberg"/>
    <s v="Private Lodging - Double | Early Bird"/>
    <m/>
    <n v="825"/>
    <n v="861.79"/>
    <n v="36.79"/>
    <s v="Female"/>
    <d v="1986-08-26T00:00:00"/>
    <n v="38"/>
    <s v="Pembroke"/>
    <s v="MA"/>
    <n v="2359"/>
    <s v="US"/>
    <s v="Confirm"/>
    <s v="XL"/>
    <s v="None"/>
    <m/>
    <m/>
    <s v="No, assign me an awesome roommate!"/>
    <m/>
    <m/>
    <s v="Culturally Jewish"/>
    <m/>
    <m/>
    <m/>
    <m/>
    <s v="Yes"/>
    <m/>
    <m/>
    <m/>
    <m/>
    <m/>
    <m/>
    <m/>
    <m/>
    <m/>
    <m/>
    <m/>
    <m/>
    <m/>
    <m/>
    <m/>
    <m/>
    <m/>
    <m/>
    <m/>
    <m/>
    <m/>
    <m/>
    <m/>
    <m/>
    <m/>
    <m/>
    <m/>
    <m/>
    <m/>
    <m/>
    <m/>
    <m/>
    <m/>
    <s v="Yes"/>
    <m/>
    <m/>
    <m/>
    <m/>
    <m/>
    <s v="Yes"/>
    <s v="Yes"/>
    <m/>
    <s v="Tevye, Grossman"/>
    <s v="Rachel Leicher, Erika Mackin"/>
    <m/>
    <m/>
    <s v="Yes"/>
    <s v="If I can be in a bunk closet to the main activities that would be good because I have a muscle condition and sometimes get stiff muscles and tired with walking"/>
    <s v="No"/>
    <s v="Mental Health Therapist"/>
    <s v="I have a Bernese Mountain Dog named Maggie!"/>
    <s v="String cheese, cheerios and milk, cornflakes and milk"/>
    <s v="I'm excited! :) I have a friend who lives in Great Barrington and I am waiting to see if she wants to come and if we could just do the day camp and not overnight if we stay at her house. Is that a possibility? I am waiting to hear back but wanted to make sure I have a spot. Also, I would prefer single room but I don't know if wait list opens up often for that? That's if my friend doesn't come from Great Barrington I mean."/>
    <s v="Yes"/>
  </r>
  <r>
    <x v="0"/>
    <n v="49768036"/>
    <d v="2024-06-22T11:53:00"/>
    <s v="Willinsky"/>
    <s v="Cabin Lodging | Standard"/>
    <m/>
    <n v="725"/>
    <n v="755.84"/>
    <n v="30.84"/>
    <s v="Male"/>
    <d v="1988-05-24T00:00:00"/>
    <n v="35"/>
    <s v="Bethesda"/>
    <s v="MD"/>
    <n v="20814"/>
    <s v="US"/>
    <s v="Confirm"/>
    <s v="L"/>
    <s v="None"/>
    <m/>
    <s v="Co-ed Cabin"/>
    <m/>
    <m/>
    <m/>
    <s v="Just Jewish"/>
    <m/>
    <m/>
    <m/>
    <m/>
    <s v="Yes"/>
    <m/>
    <m/>
    <m/>
    <m/>
    <m/>
    <m/>
    <m/>
    <m/>
    <m/>
    <m/>
    <m/>
    <m/>
    <m/>
    <m/>
    <m/>
    <m/>
    <m/>
    <m/>
    <m/>
    <m/>
    <m/>
    <m/>
    <m/>
    <m/>
    <m/>
    <m/>
    <m/>
    <m/>
    <m/>
    <m/>
    <m/>
    <m/>
    <m/>
    <m/>
    <m/>
    <m/>
    <m/>
    <m/>
    <s v="Yes"/>
    <s v="Yes"/>
    <s v="Yes"/>
    <m/>
    <s v="Kingswood"/>
    <m/>
    <m/>
    <s v="Date"/>
    <s v="No"/>
    <m/>
    <s v="No"/>
    <s v="Sales"/>
    <m/>
    <s v="Chinese food or pizza"/>
    <m/>
    <s v="Yes"/>
  </r>
  <r>
    <x v="0"/>
    <n v="46948304"/>
    <d v="2024-03-26T22:10:00"/>
    <s v="Wolf"/>
    <s v="Cabin Lodging | Early Bird"/>
    <m/>
    <n v="599"/>
    <n v="625.13"/>
    <n v="26.14"/>
    <s v="Male"/>
    <d v="1988-02-24T00:00:00"/>
    <n v="35"/>
    <s v="New York"/>
    <s v="NY"/>
    <n v="10075"/>
    <s v="US"/>
    <s v="Confirm"/>
    <s v="L"/>
    <s v="None"/>
    <m/>
    <s v="Co-ed Cabin"/>
    <m/>
    <m/>
    <m/>
    <s v="Reform"/>
    <m/>
    <s v="Yes"/>
    <s v="Yes"/>
    <m/>
    <m/>
    <m/>
    <m/>
    <m/>
    <m/>
    <m/>
    <m/>
    <s v="Yes"/>
    <m/>
    <m/>
    <m/>
    <m/>
    <m/>
    <m/>
    <m/>
    <m/>
    <m/>
    <m/>
    <m/>
    <m/>
    <m/>
    <m/>
    <m/>
    <m/>
    <m/>
    <m/>
    <m/>
    <m/>
    <m/>
    <m/>
    <m/>
    <m/>
    <m/>
    <m/>
    <m/>
    <m/>
    <m/>
    <m/>
    <m/>
    <m/>
    <m/>
    <s v="Yes"/>
    <m/>
    <s v="Kutz"/>
    <m/>
    <m/>
    <m/>
    <s v="No"/>
    <m/>
    <s v="No"/>
    <s v="Geographic information systems"/>
    <s v="My parents live down the road from camp"/>
    <s v="Cereal"/>
    <s v="Nah"/>
    <s v="Yes"/>
  </r>
  <r>
    <x v="0"/>
    <n v="48552858"/>
    <d v="2024-05-10T17:46:00"/>
    <s v="Wolff"/>
    <s v="Cabin Lodging | Standard"/>
    <m/>
    <n v="725"/>
    <n v="758"/>
    <n v="33"/>
    <s v="Male"/>
    <d v="1991-04-11T00:00:00"/>
    <n v="33"/>
    <s v="Greenbelt"/>
    <s v="MD"/>
    <n v="20770"/>
    <s v="US"/>
    <s v="Confirm"/>
    <s v="L"/>
    <s v="None"/>
    <m/>
    <s v="Male Cabin"/>
    <m/>
    <m/>
    <m/>
    <s v="Reform"/>
    <m/>
    <m/>
    <s v="Yes"/>
    <m/>
    <m/>
    <m/>
    <m/>
    <m/>
    <m/>
    <m/>
    <m/>
    <m/>
    <m/>
    <m/>
    <m/>
    <m/>
    <m/>
    <m/>
    <m/>
    <m/>
    <m/>
    <m/>
    <m/>
    <m/>
    <m/>
    <m/>
    <m/>
    <m/>
    <m/>
    <m/>
    <m/>
    <m/>
    <s v="Yes"/>
    <m/>
    <m/>
    <m/>
    <m/>
    <m/>
    <s v="Yes"/>
    <m/>
    <m/>
    <m/>
    <m/>
    <m/>
    <m/>
    <s v="Yes"/>
    <m/>
    <s v="New England Music Camp"/>
    <s v="Malka Benjamin, Lauren Gendzier, Hannah Gendelman"/>
    <m/>
    <m/>
    <s v="No"/>
    <m/>
    <s v="No"/>
    <s v="I am a cantor. But shhhh... I don't intend to lead any activities at Trybal."/>
    <s v="I am an accredited canoe intructor!"/>
    <s v="An apple."/>
    <s v="Looking forward to meeting some new people, especially from Greater Boston/New England."/>
    <s v="Yes"/>
  </r>
  <r>
    <x v="0"/>
    <n v="49806624"/>
    <d v="2024-06-23T21:09:00"/>
    <s v="Zinkerman"/>
    <s v="Cabin Lodging | Standard"/>
    <s v="HARTFORDCAMP"/>
    <n v="725"/>
    <n v="446.6"/>
    <n v="21.6"/>
    <s v="Female"/>
    <d v="1983-11-06T00:00:00"/>
    <n v="40"/>
    <s v="New York"/>
    <s v="NY"/>
    <n v="10040"/>
    <s v="US"/>
    <s v="Confirm"/>
    <s v="M"/>
    <s v="None"/>
    <m/>
    <s v="Female Cabin"/>
    <m/>
    <m/>
    <s v="Zoe Cramer, Naomi Abrams (If she attends)"/>
    <s v="Just Jewish"/>
    <m/>
    <m/>
    <m/>
    <m/>
    <s v="Yes"/>
    <m/>
    <m/>
    <m/>
    <m/>
    <m/>
    <m/>
    <m/>
    <m/>
    <m/>
    <m/>
    <m/>
    <m/>
    <m/>
    <m/>
    <m/>
    <m/>
    <m/>
    <m/>
    <m/>
    <m/>
    <m/>
    <m/>
    <m/>
    <m/>
    <m/>
    <m/>
    <m/>
    <m/>
    <m/>
    <m/>
    <m/>
    <m/>
    <m/>
    <s v="Yes"/>
    <m/>
    <m/>
    <m/>
    <m/>
    <m/>
    <m/>
    <m/>
    <s v="Yes"/>
    <m/>
    <s v="Simon Lichter"/>
    <m/>
    <m/>
    <s v="No"/>
    <m/>
    <s v="No"/>
    <s v="Court Clerk"/>
    <s v="I love zumba and salsa dancing"/>
    <s v="Anything sweet!"/>
    <m/>
    <s v="Yes"/>
  </r>
  <r>
    <x v="0"/>
    <n v="46958628"/>
    <d v="2024-03-27T12:12:00"/>
    <s v="Zweigbaum"/>
    <s v="Cabin Lodging | Early Bird"/>
    <m/>
    <n v="599"/>
    <n v="626.91"/>
    <n v="27.92"/>
    <s v="Female"/>
    <d v="1993-06-18T00:00:00"/>
    <n v="31"/>
    <s v="Washington"/>
    <s v="DC"/>
    <n v="20001"/>
    <s v="US"/>
    <s v="Confirm"/>
    <s v="S"/>
    <s v="None"/>
    <m/>
    <s v="Female Cabin"/>
    <m/>
    <m/>
    <s v="Ilena Kubit"/>
    <s v="Culturally Jewish"/>
    <m/>
    <m/>
    <s v="Yes"/>
    <m/>
    <m/>
    <m/>
    <m/>
    <m/>
    <m/>
    <m/>
    <m/>
    <m/>
    <m/>
    <m/>
    <m/>
    <m/>
    <m/>
    <m/>
    <m/>
    <m/>
    <m/>
    <m/>
    <m/>
    <m/>
    <m/>
    <m/>
    <m/>
    <m/>
    <m/>
    <m/>
    <m/>
    <m/>
    <m/>
    <m/>
    <m/>
    <m/>
    <m/>
    <m/>
    <s v="Yes"/>
    <m/>
    <m/>
    <m/>
    <m/>
    <m/>
    <s v="Yes"/>
    <s v="Yes"/>
    <m/>
    <s v="Camp Lindenmere, Camp Deeny Riback"/>
    <s v="Ilena Kubit"/>
    <m/>
    <m/>
    <s v="No"/>
    <m/>
    <s v="No"/>
    <s v="Digital Marketing"/>
    <s v="I was color war general!"/>
    <s v="Popcorn"/>
    <m/>
    <s v="Yes"/>
  </r>
  <r>
    <x v="0"/>
    <n v="49918814"/>
    <d v="2024-06-28T10:55:00"/>
    <s v="Kronfeld"/>
    <s v="Cabin Lodging | Standard"/>
    <m/>
    <n v="725"/>
    <n v="758"/>
    <n v="33"/>
    <s v="Male"/>
    <d v="1994-07-07T00:00:00"/>
    <n v="29"/>
    <s v="Brooklyn"/>
    <s v="NY"/>
    <n v="11217"/>
    <s v="US"/>
    <s v="Confirm"/>
    <s v="L"/>
    <s v="Kosher"/>
    <m/>
    <s v="No preference"/>
    <m/>
    <m/>
    <m/>
    <s v="Conservative"/>
    <m/>
    <m/>
    <s v="Yes"/>
    <m/>
    <m/>
    <m/>
    <m/>
    <m/>
    <m/>
    <m/>
    <m/>
    <m/>
    <m/>
    <m/>
    <m/>
    <m/>
    <m/>
    <m/>
    <m/>
    <m/>
    <m/>
    <m/>
    <m/>
    <m/>
    <m/>
    <m/>
    <m/>
    <m/>
    <m/>
    <m/>
    <s v="Yes"/>
    <s v="Yes"/>
    <m/>
    <s v="Ramah Nyack, Camp Tel Yehuda"/>
    <m/>
    <m/>
    <m/>
    <s v="No"/>
    <m/>
    <s v="Yes, send me more info"/>
    <s v="Construction Administrator"/>
    <s v="I was on Japanese TV in 2012"/>
    <s v="Pizza"/>
    <m/>
    <s v="Yes"/>
    <m/>
    <m/>
    <m/>
    <m/>
    <m/>
    <m/>
    <m/>
    <m/>
    <m/>
    <m/>
    <m/>
    <m/>
    <m/>
    <m/>
  </r>
  <r>
    <x v="0"/>
    <n v="50010949"/>
    <d v="2024-06-30T12:23:00"/>
    <s v="Rochelson"/>
    <s v="Cabin Lodging | Standard"/>
    <m/>
    <n v="725"/>
    <n v="755.84"/>
    <n v="30.84"/>
    <s v="Female"/>
    <d v="1995-06-08T00:00:00"/>
    <n v="29"/>
    <s v="Forest Hills"/>
    <s v="NY"/>
    <n v="11375"/>
    <s v="US"/>
    <s v="Confirm"/>
    <s v="M"/>
    <s v="None"/>
    <m/>
    <s v="Female Cabin"/>
    <m/>
    <m/>
    <s v="Rebecca Furth"/>
    <s v="Conservative"/>
    <m/>
    <m/>
    <m/>
    <m/>
    <s v="Yes"/>
    <m/>
    <m/>
    <m/>
    <m/>
    <m/>
    <m/>
    <m/>
    <m/>
    <m/>
    <m/>
    <m/>
    <m/>
    <m/>
    <m/>
    <m/>
    <m/>
    <m/>
    <m/>
    <m/>
    <m/>
    <m/>
    <m/>
    <m/>
    <m/>
    <m/>
    <m/>
    <s v="Yes"/>
    <m/>
    <s v="Camp Ramah in New England"/>
    <s v="Rebecca Furth"/>
    <m/>
    <m/>
    <s v="No"/>
    <m/>
    <s v="No"/>
    <s v="Public Health Educator"/>
    <s v="I’m a firefighter &amp; EMT"/>
    <s v="Cheezits"/>
    <s v="No"/>
    <s v="Yes"/>
    <m/>
    <m/>
    <m/>
    <m/>
    <m/>
    <m/>
    <m/>
    <m/>
    <m/>
    <m/>
    <m/>
    <m/>
    <m/>
    <m/>
  </r>
  <r>
    <x v="0"/>
    <n v="50109917"/>
    <d v="2024-07-03T21:31:00"/>
    <s v="Tanzer"/>
    <s v="Cabin Lodging | Standard"/>
    <m/>
    <n v="725"/>
    <n v="835.84"/>
    <n v="35.840000000000003"/>
    <s v="Male"/>
    <d v="1992-05-19T00:00:00"/>
    <n v="32"/>
    <s v="Fort Lauderdale"/>
    <s v="FL"/>
    <n v="33304"/>
    <s v="US"/>
    <s v="Confirm"/>
    <s v="M"/>
    <s v="None"/>
    <m/>
    <s v="Co-ed Cabin"/>
    <m/>
    <m/>
    <m/>
    <s v="Conservative"/>
    <m/>
    <s v="Yes"/>
    <s v="Yes"/>
    <s v="Yes"/>
    <m/>
    <m/>
    <m/>
    <m/>
    <m/>
    <m/>
    <m/>
    <m/>
    <s v="Yes"/>
    <m/>
    <m/>
    <m/>
    <m/>
    <m/>
    <m/>
    <m/>
    <m/>
    <m/>
    <m/>
    <m/>
    <m/>
    <m/>
    <m/>
    <m/>
    <m/>
    <m/>
    <s v="Yes"/>
    <m/>
    <m/>
    <s v="Beth Sholom Day Camp in Roslyn, NY"/>
    <m/>
    <m/>
    <m/>
    <s v="No"/>
    <m/>
    <s v="Yes, send me more info"/>
    <s v="Procurement Analyst"/>
    <s v="I love to play and write music!"/>
    <s v="Cookies and milk!"/>
    <m/>
    <s v="Yes"/>
    <m/>
    <m/>
    <m/>
    <m/>
    <m/>
    <m/>
    <m/>
    <m/>
    <m/>
    <m/>
    <m/>
    <m/>
    <m/>
    <m/>
  </r>
  <r>
    <x v="0"/>
    <n v="50166230"/>
    <d v="2024-07-06T00:09:00"/>
    <s v="Lowenstein"/>
    <s v="Cabin Lodging | Standard"/>
    <m/>
    <n v="725"/>
    <n v="835.84"/>
    <n v="35.840000000000003"/>
    <s v="Female"/>
    <d v="1985-05-10T00:00:00"/>
    <n v="38"/>
    <s v="New York"/>
    <s v="NY"/>
    <n v="10023"/>
    <s v="US"/>
    <s v="Confirm"/>
    <s v="L"/>
    <s v="None"/>
    <m/>
    <s v="Female Cabin"/>
    <m/>
    <m/>
    <m/>
    <s v="Just Jewish"/>
    <m/>
    <m/>
    <m/>
    <m/>
    <s v="Yes"/>
    <m/>
    <m/>
    <m/>
    <m/>
    <m/>
    <m/>
    <m/>
    <m/>
    <m/>
    <m/>
    <m/>
    <m/>
    <m/>
    <m/>
    <m/>
    <m/>
    <m/>
    <m/>
    <m/>
    <m/>
    <m/>
    <m/>
    <m/>
    <m/>
    <m/>
    <m/>
    <s v="Yes"/>
    <m/>
    <s v="Interlochen Center for the Arts"/>
    <m/>
    <m/>
    <m/>
    <s v="No"/>
    <m/>
    <s v="Yes, send me more info"/>
    <s v="Training and Development for an Israeli Startup (Empathy)"/>
    <s v="My nyc apartment doubles as an escape room"/>
    <s v="Kettle corn"/>
    <m/>
    <s v="Yes"/>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57E0C5-7B00-CE4E-BFF6-63284F78095D}" name="PlaygroundPivot"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84">
    <pivotField axis="axisRow" showAll="0">
      <items count="2">
        <item x="0"/>
        <item t="default"/>
      </items>
    </pivotField>
    <pivotField dataField="1" showAll="0"/>
    <pivotField numFmtId="22" showAll="0"/>
    <pivotField showAll="0"/>
    <pivotField showAll="0"/>
    <pivotField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i>
    <i t="grand">
      <x/>
    </i>
  </rowItems>
  <colItems count="1">
    <i/>
  </colItems>
  <dataFields count="1">
    <dataField name="Count of Registration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068C15-0F23-4248-B036-58F36B202BCE}" name="tblRevenueByCamp" displayName="tblRevenueByCamp" ref="A2:D3" totalsRowShown="0">
  <autoFilter ref="A2:D3" xr:uid="{ED068C15-0F23-4248-B036-58F36B202BCE}"/>
  <tableColumns count="4">
    <tableColumn id="1" xr3:uid="{661056E0-1D14-7C41-9796-F5BDD80459B6}" name="Camp"/>
    <tableColumn id="2" xr3:uid="{197AB689-780B-9743-9DC7-26A835C07889}" name="Revenue Sum" dataDxfId="2"/>
    <tableColumn id="3" xr3:uid="{FCB70CA7-15D4-F644-9A21-1F2657A3A53A}" name="Total Paid Sum" dataDxfId="1"/>
    <tableColumn id="4" xr3:uid="{B54CEF9F-39DE-BD40-8E20-CFA8BEA6CC3C}" name="Processing &amp; Fees Sum"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C7FAE9-7DD6-2948-B075-E26F0B4369DB}" name="tblCampByAge" displayName="tblCampByAge" ref="A8:T9" totalsRowShown="0">
  <autoFilter ref="A8:T9" xr:uid="{FDC7FAE9-7DD6-2948-B075-E26F0B4369DB}"/>
  <tableColumns count="20">
    <tableColumn id="1" xr3:uid="{C48BDBBC-A79A-5D47-98ED-FB96F388278B}" name="Camp"/>
    <tableColumn id="2" xr3:uid="{69F91848-3920-1849-8DF4-DEFD80942205}" name="31"/>
    <tableColumn id="3" xr3:uid="{2DF3FF77-531C-1B43-80EE-2FD58090D259}" name="34"/>
    <tableColumn id="4" xr3:uid="{FBF5C0EE-0A4A-5248-B02D-817F514F862E}" name="24"/>
    <tableColumn id="5" xr3:uid="{0139A11B-36CF-D146-BE06-ADB7FFA0095A}" name="33"/>
    <tableColumn id="6" xr3:uid="{21EC3415-BD95-0D4A-B0C5-F0944F9AC3BE}" name="27"/>
    <tableColumn id="7" xr3:uid="{C40E2399-EB14-2B4F-A9A3-85C75E9FCBCC}" name="37"/>
    <tableColumn id="8" xr3:uid="{674C4013-63EE-4B4D-8B61-EBA0145FB96A}" name="36"/>
    <tableColumn id="9" xr3:uid="{DB519007-8644-6E42-AD09-26660535014E}" name="30"/>
    <tableColumn id="10" xr3:uid="{BBF5820B-2477-B449-B7FF-ED45BA42FCB2}" name="35"/>
    <tableColumn id="11" xr3:uid="{4FA8C830-4732-924E-B84F-A5BA49F4365D}" name="38"/>
    <tableColumn id="12" xr3:uid="{0047483B-2F7E-1341-A821-A3D0305069F8}" name="32"/>
    <tableColumn id="13" xr3:uid="{0F81272E-27AF-A84F-B35D-F64F43E17081}" name="39"/>
    <tableColumn id="14" xr3:uid="{C522F68C-82C7-8740-9AD9-E6AA1258EDF9}" name="29"/>
    <tableColumn id="15" xr3:uid="{AE9BC976-EDF9-AA42-A6FF-D764796F9C40}" name="23"/>
    <tableColumn id="16" xr3:uid="{71759978-246E-D44C-A622-DCC249D8BCC1}" name="26"/>
    <tableColumn id="17" xr3:uid="{62E31984-371F-564F-8F16-0CC09795DDA0}" name="28"/>
    <tableColumn id="18" xr3:uid="{5C00146C-DC7F-B947-8492-26B03CC714E5}" name="41"/>
    <tableColumn id="19" xr3:uid="{BBB14C78-9056-7B40-8930-B08C24447430}" name="42"/>
    <tableColumn id="20" xr3:uid="{471DCFB2-E2D9-4E4D-B424-4893E41F15D8}" name="4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4B3DD4-10B7-F343-89E5-3A9BB29951F4}" name="tblBackgroundByCamp" displayName="tblBackgroundByCamp" ref="A14:F15" totalsRowShown="0">
  <autoFilter ref="A14:F15" xr:uid="{A84B3DD4-10B7-F343-89E5-3A9BB29951F4}"/>
  <tableColumns count="6">
    <tableColumn id="1" xr3:uid="{00D99981-A015-014F-9165-68C5CDBC0675}" name="Camp"/>
    <tableColumn id="2" xr3:uid="{B50F6E97-EE7E-F34E-BCD7-B4684B82A243}" name="Conservative"/>
    <tableColumn id="3" xr3:uid="{ED1CB6DC-332E-344E-BA84-CBB21F55A9A0}" name="Just Jewish"/>
    <tableColumn id="4" xr3:uid="{D4B3B976-0129-0243-BB0A-B345755FA2E3}" name="Culturally Jewish"/>
    <tableColumn id="5" xr3:uid="{BD3FE530-2CF8-5F44-943A-22E49AF4C5D9}" name="Reform"/>
    <tableColumn id="6" xr3:uid="{ABFDFB19-2484-F140-A3E2-47B8952684DD}" name="I'm not Jewish"/>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C26DA4-363D-B74E-9B39-029F686B6331}" name="tblPrevCamps" displayName="tblPrevCamps" ref="A20:Z21" totalsRowShown="0">
  <autoFilter ref="A20:Z21" xr:uid="{7CC26DA4-363D-B74E-9B39-029F686B6331}"/>
  <tableColumns count="26">
    <tableColumn id="1" xr3:uid="{2237CD55-3D2C-134E-9CCF-3D3EFE83FCB2}" name="Camp"/>
    <tableColumn id="2" xr3:uid="{F630D6AD-E9BA-4347-8A6C-D1C5CC7879FD}" name="Berkshires 2017"/>
    <tableColumn id="3" xr3:uid="{C0CF0B5B-D42F-9242-8AFE-7215C4CDF6E1}" name="Berkshires 2018"/>
    <tableColumn id="4" xr3:uid="{B14AEA19-B58E-854C-9807-D9467D51B165}" name="Berkshires 2019"/>
    <tableColumn id="5" xr3:uid="{2C8E0339-48E8-C943-A542-57D6998A056F}" name="Berkshires 2021"/>
    <tableColumn id="6" xr3:uid="{BAAE3992-4840-8549-AF6C-94F5825EA420}" name="Berkshires 2022 Session 1"/>
    <tableColumn id="7" xr3:uid="{2B78C11A-9ECB-BB4B-9241-D9378B5E8112}" name="Berkshires 2022 Session 2"/>
    <tableColumn id="8" xr3:uid="{36414089-E7B3-1A49-B784-03B3AE29ED87}" name="Berkshires 2023 Session 1"/>
    <tableColumn id="9" xr3:uid="{F64A1357-A270-8A42-BEE1-D0D94BA57050}" name="Berkshires 2023 Session 2"/>
    <tableColumn id="10" xr3:uid="{BE86E419-96CF-EE4B-AF6F-8ADCA0003109}" name="SoCal 2017"/>
    <tableColumn id="11" xr3:uid="{95C6BCB5-61BC-C04D-AFB9-2A088159246F}" name="SoCal 2018"/>
    <tableColumn id="12" xr3:uid="{12ADCEC3-C9D5-2E45-961B-09BAA3CA1451}" name="SoCal 2019"/>
    <tableColumn id="13" xr3:uid="{9A360223-9A23-1D4A-8DEA-CF8AE41209E9}" name="SoCal 2021"/>
    <tableColumn id="14" xr3:uid="{42A7B44B-3F13-0647-9606-00294BB58D61}" name="SoCal 2022"/>
    <tableColumn id="15" xr3:uid="{1A1BC0D6-0259-C946-BE64-B3B5FC3D0167}" name="SoCal 2023"/>
    <tableColumn id="16" xr3:uid="{1B7A938D-C97F-6040-B2FA-F2EDC7209ED0}" name="Midwest 2018"/>
    <tableColumn id="17" xr3:uid="{B0BA87BB-B10F-B345-A933-094F2A8AA457}" name="Midwest 2019"/>
    <tableColumn id="18" xr3:uid="{89ADDECC-BAB5-6847-B7E6-99096ED4DA8E}" name="Midwest 2022"/>
    <tableColumn id="19" xr3:uid="{9486C1E8-5C65-4949-9EB0-5CB58AF4025D}" name="Midwest 2023"/>
    <tableColumn id="20" xr3:uid="{86BFDF22-CE51-574E-B831-65C5FE9ABE1C}" name="Chicago Day Camp 2021"/>
    <tableColumn id="21" xr3:uid="{6AE247ED-5604-184B-971D-AEC01762796D}" name="Chicago Day Camp 2023"/>
    <tableColumn id="22" xr3:uid="{C29C5891-16B8-9245-817F-CD9490885C72}" name="Seattle Day Camp 2021"/>
    <tableColumn id="23" xr3:uid="{19C5D1AD-DE12-0147-AF44-030B50D137D8}" name="Atlanta Day Camp 2021"/>
    <tableColumn id="24" xr3:uid="{18969A7C-496A-2A48-9013-E5057BA52ABE}" name="South 2022"/>
    <tableColumn id="25" xr3:uid="{EB6A87D3-642D-494E-A962-C3CC5243CD82}" name="LA Day Camp 2022"/>
    <tableColumn id="26" xr3:uid="{3BC402E8-5EFA-844C-A52C-C2C6131766E8}" name="LA Day Camp 202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80E55F-E8B1-E94D-AD3C-67AAF24ECBCB}" name="tblDataDictionary" displayName="tblDataDictionary" ref="A1:D57" totalsRowShown="0" headerRowDxfId="9" dataDxfId="8" tableBorderDxfId="7">
  <autoFilter ref="A1:D57" xr:uid="{6080E55F-E8B1-E94D-AD3C-67AAF24ECBCB}"/>
  <tableColumns count="4">
    <tableColumn id="1" xr3:uid="{9E1C42CD-CA24-9646-9A41-90906D571B59}" name="Field Name" dataDxfId="6"/>
    <tableColumn id="2" xr3:uid="{A41969F4-10AE-AA4C-B982-14498301E059}" name="Description" dataDxfId="5"/>
    <tableColumn id="3" xr3:uid="{58A8975E-3A7E-3D42-95F6-D94F640940B0}" name="Data Type" dataDxfId="4"/>
    <tableColumn id="4" xr3:uid="{6D2B129E-DF76-B14D-B9B8-9783C5E60D7C}" name="Possible Values / Notes" dataDxfId="3"/>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3DCF9-7E11-B34A-BDED-E0BF0A4A1F1D}">
  <sheetPr codeName="Sheet9"/>
  <dimension ref="A1:F6"/>
  <sheetViews>
    <sheetView tabSelected="1" workbookViewId="0">
      <selection sqref="A1:E6"/>
    </sheetView>
  </sheetViews>
  <sheetFormatPr baseColWidth="10" defaultRowHeight="13" x14ac:dyDescent="0.15"/>
  <sheetData>
    <row r="1" spans="1:6" x14ac:dyDescent="0.15">
      <c r="A1" s="26"/>
      <c r="B1" s="26"/>
      <c r="C1" s="26"/>
      <c r="D1" s="26"/>
      <c r="E1" s="26"/>
    </row>
    <row r="2" spans="1:6" ht="23" x14ac:dyDescent="0.15">
      <c r="A2" s="26"/>
      <c r="B2" s="26"/>
      <c r="C2" s="26"/>
      <c r="D2" s="26"/>
      <c r="E2" s="26"/>
      <c r="F2" s="11" t="s">
        <v>789</v>
      </c>
    </row>
    <row r="3" spans="1:6" ht="16" x14ac:dyDescent="0.15">
      <c r="A3" s="26"/>
      <c r="B3" s="26"/>
      <c r="C3" s="26"/>
      <c r="D3" s="26"/>
      <c r="E3" s="26"/>
      <c r="F3" s="12" t="s">
        <v>790</v>
      </c>
    </row>
    <row r="4" spans="1:6" x14ac:dyDescent="0.15">
      <c r="A4" s="26"/>
      <c r="B4" s="26"/>
      <c r="C4" s="26"/>
      <c r="D4" s="26"/>
      <c r="E4" s="26"/>
    </row>
    <row r="5" spans="1:6" x14ac:dyDescent="0.15">
      <c r="A5" s="26"/>
      <c r="B5" s="26"/>
      <c r="C5" s="26"/>
      <c r="D5" s="26"/>
      <c r="E5" s="26"/>
    </row>
    <row r="6" spans="1:6" x14ac:dyDescent="0.15">
      <c r="A6" s="26"/>
      <c r="B6" s="26"/>
      <c r="C6" s="26"/>
      <c r="D6" s="26"/>
      <c r="E6" s="26"/>
    </row>
  </sheetData>
  <mergeCells count="1">
    <mergeCell ref="A1:E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31896-C46C-5F42-B0BE-C3FECF6A0C55}">
  <sheetPr codeName="Sheet8"/>
  <dimension ref="A1:Z21"/>
  <sheetViews>
    <sheetView workbookViewId="0">
      <selection sqref="A1:D1"/>
    </sheetView>
  </sheetViews>
  <sheetFormatPr baseColWidth="10" defaultRowHeight="13" x14ac:dyDescent="0.15"/>
  <cols>
    <col min="1" max="1" width="10.6640625" bestFit="1" customWidth="1"/>
    <col min="2" max="3" width="17.1640625" bestFit="1" customWidth="1"/>
    <col min="4" max="4" width="23.5" bestFit="1" customWidth="1"/>
    <col min="5" max="5" width="17.1640625" bestFit="1" customWidth="1"/>
    <col min="6" max="9" width="26.1640625" bestFit="1" customWidth="1"/>
    <col min="10" max="15" width="13" bestFit="1" customWidth="1"/>
    <col min="16" max="19" width="14.83203125" bestFit="1" customWidth="1"/>
    <col min="20" max="21" width="24" bestFit="1" customWidth="1"/>
    <col min="22" max="23" width="22.83203125" bestFit="1" customWidth="1"/>
    <col min="24" max="24" width="12.83203125" bestFit="1" customWidth="1"/>
    <col min="25" max="26" width="19.33203125" bestFit="1" customWidth="1"/>
  </cols>
  <sheetData>
    <row r="1" spans="1:20" ht="18" x14ac:dyDescent="0.2">
      <c r="A1" s="13" t="s">
        <v>738</v>
      </c>
      <c r="B1" s="14"/>
      <c r="C1" s="14"/>
      <c r="D1" s="14"/>
    </row>
    <row r="2" spans="1:20" x14ac:dyDescent="0.15">
      <c r="A2" t="s">
        <v>0</v>
      </c>
      <c r="B2" t="s">
        <v>739</v>
      </c>
      <c r="C2" t="s">
        <v>740</v>
      </c>
      <c r="D2" t="s">
        <v>741</v>
      </c>
    </row>
    <row r="3" spans="1:20" x14ac:dyDescent="0.15">
      <c r="A3" t="s">
        <v>225</v>
      </c>
      <c r="B3" s="10">
        <v>55856</v>
      </c>
      <c r="C3" s="10">
        <v>44126.159999999989</v>
      </c>
      <c r="D3" s="10">
        <v>1796.4099999999996</v>
      </c>
    </row>
    <row r="7" spans="1:20" ht="18" x14ac:dyDescent="0.2">
      <c r="A7" s="13" t="s">
        <v>742</v>
      </c>
      <c r="B7" s="14"/>
      <c r="C7" s="14"/>
      <c r="D7" s="14"/>
      <c r="E7" s="14"/>
      <c r="F7" s="14"/>
      <c r="G7" s="14"/>
      <c r="H7" s="14"/>
      <c r="I7" s="14"/>
      <c r="J7" s="14"/>
      <c r="K7" s="14"/>
      <c r="L7" s="14"/>
      <c r="M7" s="14"/>
      <c r="N7" s="14"/>
      <c r="O7" s="14"/>
      <c r="P7" s="14"/>
      <c r="Q7" s="14"/>
      <c r="R7" s="14"/>
      <c r="S7" s="14"/>
      <c r="T7" s="14"/>
    </row>
    <row r="8" spans="1:20" x14ac:dyDescent="0.15">
      <c r="A8" t="s">
        <v>0</v>
      </c>
      <c r="B8" t="s">
        <v>754</v>
      </c>
      <c r="C8" t="s">
        <v>751</v>
      </c>
      <c r="D8" t="s">
        <v>759</v>
      </c>
      <c r="E8" t="s">
        <v>743</v>
      </c>
      <c r="F8" t="s">
        <v>750</v>
      </c>
      <c r="G8" t="s">
        <v>744</v>
      </c>
      <c r="H8" t="s">
        <v>746</v>
      </c>
      <c r="I8" t="s">
        <v>747</v>
      </c>
      <c r="J8" t="s">
        <v>749</v>
      </c>
      <c r="K8" t="s">
        <v>756</v>
      </c>
      <c r="L8" t="s">
        <v>757</v>
      </c>
      <c r="M8" t="s">
        <v>745</v>
      </c>
      <c r="N8" t="s">
        <v>752</v>
      </c>
      <c r="O8" t="s">
        <v>761</v>
      </c>
      <c r="P8" t="s">
        <v>755</v>
      </c>
      <c r="Q8" t="s">
        <v>748</v>
      </c>
      <c r="R8" t="s">
        <v>753</v>
      </c>
      <c r="S8" t="s">
        <v>760</v>
      </c>
      <c r="T8" t="s">
        <v>758</v>
      </c>
    </row>
    <row r="9" spans="1:20" x14ac:dyDescent="0.15">
      <c r="A9" t="s">
        <v>225</v>
      </c>
      <c r="B9">
        <v>3</v>
      </c>
      <c r="C9">
        <v>6</v>
      </c>
      <c r="D9">
        <v>2</v>
      </c>
      <c r="E9">
        <v>6</v>
      </c>
      <c r="F9">
        <v>5</v>
      </c>
      <c r="G9">
        <v>7</v>
      </c>
      <c r="H9">
        <v>4</v>
      </c>
      <c r="I9">
        <v>10</v>
      </c>
      <c r="J9">
        <v>7</v>
      </c>
      <c r="K9">
        <v>8</v>
      </c>
      <c r="L9">
        <v>5</v>
      </c>
      <c r="M9">
        <v>3</v>
      </c>
      <c r="N9">
        <v>7</v>
      </c>
      <c r="O9">
        <v>1</v>
      </c>
      <c r="P9">
        <v>5</v>
      </c>
      <c r="Q9">
        <v>2</v>
      </c>
      <c r="R9">
        <v>1</v>
      </c>
      <c r="S9">
        <v>1</v>
      </c>
      <c r="T9">
        <v>1</v>
      </c>
    </row>
    <row r="13" spans="1:20" ht="18" x14ac:dyDescent="0.2">
      <c r="A13" s="13" t="s">
        <v>762</v>
      </c>
      <c r="B13" s="14"/>
      <c r="C13" s="14"/>
      <c r="D13" s="14"/>
      <c r="E13" s="14"/>
      <c r="F13" s="14"/>
    </row>
    <row r="14" spans="1:20" x14ac:dyDescent="0.15">
      <c r="A14" t="s">
        <v>0</v>
      </c>
      <c r="B14" t="s">
        <v>103</v>
      </c>
      <c r="C14" t="s">
        <v>95</v>
      </c>
      <c r="D14" t="s">
        <v>106</v>
      </c>
      <c r="E14" t="s">
        <v>100</v>
      </c>
      <c r="F14" t="s">
        <v>90</v>
      </c>
    </row>
    <row r="15" spans="1:20" x14ac:dyDescent="0.15">
      <c r="A15" t="s">
        <v>225</v>
      </c>
      <c r="B15">
        <v>25</v>
      </c>
      <c r="C15">
        <v>18</v>
      </c>
      <c r="D15">
        <v>19</v>
      </c>
      <c r="E15">
        <v>19</v>
      </c>
      <c r="F15">
        <v>2</v>
      </c>
    </row>
    <row r="19" spans="1:26" ht="18" x14ac:dyDescent="0.2">
      <c r="A19" s="13" t="s">
        <v>763</v>
      </c>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15">
      <c r="A20" t="s">
        <v>0</v>
      </c>
      <c r="B20" t="s">
        <v>764</v>
      </c>
      <c r="C20" t="s">
        <v>765</v>
      </c>
      <c r="D20" t="s">
        <v>766</v>
      </c>
      <c r="E20" t="s">
        <v>767</v>
      </c>
      <c r="F20" t="s">
        <v>768</v>
      </c>
      <c r="G20" t="s">
        <v>769</v>
      </c>
      <c r="H20" t="s">
        <v>770</v>
      </c>
      <c r="I20" t="s">
        <v>771</v>
      </c>
      <c r="J20" t="s">
        <v>772</v>
      </c>
      <c r="K20" t="s">
        <v>773</v>
      </c>
      <c r="L20" t="s">
        <v>774</v>
      </c>
      <c r="M20" t="s">
        <v>775</v>
      </c>
      <c r="N20" t="s">
        <v>776</v>
      </c>
      <c r="O20" t="s">
        <v>777</v>
      </c>
      <c r="P20" t="s">
        <v>778</v>
      </c>
      <c r="Q20" t="s">
        <v>779</v>
      </c>
      <c r="R20" t="s">
        <v>780</v>
      </c>
      <c r="S20" t="s">
        <v>781</v>
      </c>
      <c r="T20" t="s">
        <v>782</v>
      </c>
      <c r="U20" t="s">
        <v>783</v>
      </c>
      <c r="V20" t="s">
        <v>784</v>
      </c>
      <c r="W20" t="s">
        <v>785</v>
      </c>
      <c r="X20" t="s">
        <v>786</v>
      </c>
      <c r="Y20" t="s">
        <v>787</v>
      </c>
      <c r="Z20" t="s">
        <v>788</v>
      </c>
    </row>
    <row r="21" spans="1:26" x14ac:dyDescent="0.15">
      <c r="A21" t="s">
        <v>225</v>
      </c>
      <c r="B21">
        <v>2</v>
      </c>
      <c r="C21">
        <v>4</v>
      </c>
      <c r="D21">
        <v>5</v>
      </c>
      <c r="E21">
        <v>7</v>
      </c>
      <c r="F21">
        <v>7</v>
      </c>
      <c r="G21">
        <v>6</v>
      </c>
      <c r="H21">
        <v>17</v>
      </c>
      <c r="I21">
        <v>19</v>
      </c>
      <c r="J21">
        <v>0</v>
      </c>
      <c r="K21">
        <v>0</v>
      </c>
      <c r="L21">
        <v>0</v>
      </c>
      <c r="M21">
        <v>1</v>
      </c>
      <c r="N21">
        <v>0</v>
      </c>
      <c r="O21">
        <v>0</v>
      </c>
      <c r="P21">
        <v>0</v>
      </c>
      <c r="Q21">
        <v>0</v>
      </c>
      <c r="R21">
        <v>4</v>
      </c>
      <c r="S21">
        <v>1</v>
      </c>
      <c r="T21">
        <v>1</v>
      </c>
      <c r="U21">
        <v>2</v>
      </c>
      <c r="V21">
        <v>0</v>
      </c>
      <c r="W21">
        <v>0</v>
      </c>
      <c r="X21">
        <v>1</v>
      </c>
      <c r="Y21">
        <v>0</v>
      </c>
      <c r="Z21">
        <v>0</v>
      </c>
    </row>
  </sheetData>
  <mergeCells count="4">
    <mergeCell ref="A1:D1"/>
    <mergeCell ref="A7:T7"/>
    <mergeCell ref="A13:F13"/>
    <mergeCell ref="A19:Z19"/>
  </mergeCells>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EA41C-2102-B04B-9A8A-CFEEEC42080C}">
  <sheetPr codeName="Sheet7"/>
  <dimension ref="A1:B5"/>
  <sheetViews>
    <sheetView workbookViewId="0"/>
  </sheetViews>
  <sheetFormatPr baseColWidth="10" defaultRowHeight="13" x14ac:dyDescent="0.15"/>
  <cols>
    <col min="1" max="1" width="53.6640625" bestFit="1" customWidth="1"/>
    <col min="2" max="2" width="19.33203125" bestFit="1" customWidth="1"/>
  </cols>
  <sheetData>
    <row r="1" spans="1:2" ht="18" x14ac:dyDescent="0.2">
      <c r="A1" s="8" t="s">
        <v>734</v>
      </c>
    </row>
    <row r="3" spans="1:2" x14ac:dyDescent="0.15">
      <c r="A3" s="9" t="s">
        <v>735</v>
      </c>
      <c r="B3" t="s">
        <v>737</v>
      </c>
    </row>
    <row r="4" spans="1:2" x14ac:dyDescent="0.15">
      <c r="A4" s="6" t="s">
        <v>225</v>
      </c>
      <c r="B4" s="25">
        <v>84</v>
      </c>
    </row>
    <row r="5" spans="1:2" x14ac:dyDescent="0.15">
      <c r="A5" s="6" t="s">
        <v>736</v>
      </c>
      <c r="B5" s="25">
        <v>84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1DBEC-89A5-E946-96E1-B4EEF1D820BB}">
  <sheetPr codeName="Sheet2"/>
  <dimension ref="A1:D57"/>
  <sheetViews>
    <sheetView workbookViewId="0">
      <pane ySplit="1" topLeftCell="A2" activePane="bottomLeft" state="frozen"/>
      <selection pane="bottomLeft" activeCell="A2" sqref="A2:XFD2"/>
    </sheetView>
  </sheetViews>
  <sheetFormatPr baseColWidth="10" defaultRowHeight="13" x14ac:dyDescent="0.15"/>
  <cols>
    <col min="1" max="1" width="45.83203125" style="1" customWidth="1"/>
    <col min="2" max="2" width="44.1640625" style="1" bestFit="1" customWidth="1"/>
    <col min="3" max="3" width="13.6640625" bestFit="1" customWidth="1"/>
    <col min="4" max="4" width="34" style="1" bestFit="1" customWidth="1"/>
  </cols>
  <sheetData>
    <row r="1" spans="1:4" ht="24" customHeight="1" x14ac:dyDescent="0.15">
      <c r="A1" s="2" t="s">
        <v>657</v>
      </c>
      <c r="B1" s="2" t="s">
        <v>658</v>
      </c>
      <c r="C1" s="3" t="s">
        <v>659</v>
      </c>
      <c r="D1" s="2" t="s">
        <v>660</v>
      </c>
    </row>
    <row r="2" spans="1:4" ht="16" x14ac:dyDescent="0.15">
      <c r="A2" s="4" t="s">
        <v>0</v>
      </c>
      <c r="B2" s="4" t="s">
        <v>661</v>
      </c>
      <c r="C2" s="5" t="s">
        <v>662</v>
      </c>
      <c r="D2" s="4" t="s">
        <v>663</v>
      </c>
    </row>
    <row r="3" spans="1:4" ht="16" x14ac:dyDescent="0.15">
      <c r="A3" s="4" t="s">
        <v>1</v>
      </c>
      <c r="B3" s="4" t="s">
        <v>664</v>
      </c>
      <c r="C3" s="5" t="s">
        <v>665</v>
      </c>
      <c r="D3" s="4" t="s">
        <v>666</v>
      </c>
    </row>
    <row r="4" spans="1:4" ht="16" x14ac:dyDescent="0.15">
      <c r="A4" s="4" t="s">
        <v>2</v>
      </c>
      <c r="B4" s="4" t="s">
        <v>667</v>
      </c>
      <c r="C4" s="5" t="s">
        <v>614</v>
      </c>
      <c r="D4" s="4" t="s">
        <v>668</v>
      </c>
    </row>
    <row r="5" spans="1:4" ht="16" x14ac:dyDescent="0.15">
      <c r="A5" s="4" t="s">
        <v>3</v>
      </c>
      <c r="B5" s="4" t="s">
        <v>669</v>
      </c>
      <c r="C5" s="5" t="s">
        <v>662</v>
      </c>
      <c r="D5" s="4" t="s">
        <v>111</v>
      </c>
    </row>
    <row r="6" spans="1:4" ht="16" x14ac:dyDescent="0.15">
      <c r="A6" s="4" t="s">
        <v>4</v>
      </c>
      <c r="B6" s="4" t="s">
        <v>670</v>
      </c>
      <c r="C6" s="5" t="s">
        <v>671</v>
      </c>
      <c r="D6" s="4" t="s">
        <v>111</v>
      </c>
    </row>
    <row r="7" spans="1:4" ht="16" x14ac:dyDescent="0.15">
      <c r="A7" s="4" t="s">
        <v>5</v>
      </c>
      <c r="B7" s="4" t="s">
        <v>672</v>
      </c>
      <c r="C7" s="5" t="s">
        <v>662</v>
      </c>
      <c r="D7" s="4" t="s">
        <v>673</v>
      </c>
    </row>
    <row r="8" spans="1:4" ht="16" x14ac:dyDescent="0.15">
      <c r="A8" s="4" t="s">
        <v>6</v>
      </c>
      <c r="B8" s="4" t="s">
        <v>674</v>
      </c>
      <c r="C8" s="5" t="s">
        <v>671</v>
      </c>
      <c r="D8" s="4" t="s">
        <v>111</v>
      </c>
    </row>
    <row r="9" spans="1:4" ht="16" x14ac:dyDescent="0.15">
      <c r="A9" s="4" t="s">
        <v>7</v>
      </c>
      <c r="B9" s="4" t="s">
        <v>675</v>
      </c>
      <c r="C9" s="5" t="s">
        <v>676</v>
      </c>
      <c r="D9" s="4" t="s">
        <v>111</v>
      </c>
    </row>
    <row r="10" spans="1:4" ht="16" x14ac:dyDescent="0.15">
      <c r="A10" s="4" t="s">
        <v>8</v>
      </c>
      <c r="B10" s="4" t="s">
        <v>677</v>
      </c>
      <c r="C10" s="5" t="s">
        <v>676</v>
      </c>
      <c r="D10" s="4" t="s">
        <v>111</v>
      </c>
    </row>
    <row r="11" spans="1:4" ht="16" x14ac:dyDescent="0.15">
      <c r="A11" s="4" t="s">
        <v>9</v>
      </c>
      <c r="B11" s="4" t="s">
        <v>678</v>
      </c>
      <c r="C11" s="5" t="s">
        <v>662</v>
      </c>
      <c r="D11" s="4" t="s">
        <v>679</v>
      </c>
    </row>
    <row r="12" spans="1:4" ht="16" x14ac:dyDescent="0.15">
      <c r="A12" s="4" t="s">
        <v>10</v>
      </c>
      <c r="B12" s="4" t="s">
        <v>680</v>
      </c>
      <c r="C12" s="5" t="s">
        <v>614</v>
      </c>
      <c r="D12" s="4" t="s">
        <v>668</v>
      </c>
    </row>
    <row r="13" spans="1:4" ht="16" x14ac:dyDescent="0.15">
      <c r="A13" s="4" t="s">
        <v>11</v>
      </c>
      <c r="B13" s="4" t="s">
        <v>681</v>
      </c>
      <c r="C13" s="5" t="s">
        <v>671</v>
      </c>
      <c r="D13" s="4" t="s">
        <v>111</v>
      </c>
    </row>
    <row r="14" spans="1:4" ht="16" x14ac:dyDescent="0.15">
      <c r="A14" s="4" t="s">
        <v>12</v>
      </c>
      <c r="B14" s="4" t="s">
        <v>682</v>
      </c>
      <c r="C14" s="5" t="s">
        <v>662</v>
      </c>
      <c r="D14" s="4" t="s">
        <v>111</v>
      </c>
    </row>
    <row r="15" spans="1:4" ht="16" x14ac:dyDescent="0.15">
      <c r="A15" s="4" t="s">
        <v>13</v>
      </c>
      <c r="B15" s="4" t="s">
        <v>683</v>
      </c>
      <c r="C15" s="5" t="s">
        <v>662</v>
      </c>
      <c r="D15" s="4" t="s">
        <v>111</v>
      </c>
    </row>
    <row r="16" spans="1:4" ht="16" x14ac:dyDescent="0.15">
      <c r="A16" s="4" t="s">
        <v>14</v>
      </c>
      <c r="B16" s="4" t="s">
        <v>684</v>
      </c>
      <c r="C16" s="5" t="s">
        <v>662</v>
      </c>
      <c r="D16" s="4" t="s">
        <v>111</v>
      </c>
    </row>
    <row r="17" spans="1:4" ht="16" x14ac:dyDescent="0.15">
      <c r="A17" s="4" t="s">
        <v>15</v>
      </c>
      <c r="B17" s="4" t="s">
        <v>685</v>
      </c>
      <c r="C17" s="5" t="s">
        <v>662</v>
      </c>
      <c r="D17" s="4" t="s">
        <v>111</v>
      </c>
    </row>
    <row r="18" spans="1:4" ht="48" x14ac:dyDescent="0.15">
      <c r="A18" s="4" t="s">
        <v>16</v>
      </c>
      <c r="B18" s="4" t="s">
        <v>686</v>
      </c>
      <c r="C18" s="5" t="s">
        <v>687</v>
      </c>
      <c r="D18" s="4" t="s">
        <v>688</v>
      </c>
    </row>
    <row r="19" spans="1:4" ht="16" x14ac:dyDescent="0.15">
      <c r="A19" s="4" t="s">
        <v>17</v>
      </c>
      <c r="B19" s="4" t="s">
        <v>689</v>
      </c>
      <c r="C19" s="5" t="s">
        <v>662</v>
      </c>
      <c r="D19" s="4" t="s">
        <v>690</v>
      </c>
    </row>
    <row r="20" spans="1:4" ht="16" x14ac:dyDescent="0.15">
      <c r="A20" s="4" t="s">
        <v>18</v>
      </c>
      <c r="B20" s="4" t="s">
        <v>691</v>
      </c>
      <c r="C20" s="5" t="s">
        <v>692</v>
      </c>
      <c r="D20" s="4" t="s">
        <v>693</v>
      </c>
    </row>
    <row r="21" spans="1:4" ht="16" x14ac:dyDescent="0.15">
      <c r="A21" s="4" t="s">
        <v>19</v>
      </c>
      <c r="B21" s="4" t="s">
        <v>694</v>
      </c>
      <c r="C21" s="5" t="s">
        <v>662</v>
      </c>
      <c r="D21" s="4" t="s">
        <v>673</v>
      </c>
    </row>
    <row r="22" spans="1:4" ht="16" x14ac:dyDescent="0.15">
      <c r="A22" s="4" t="s">
        <v>20</v>
      </c>
      <c r="B22" s="4" t="s">
        <v>695</v>
      </c>
      <c r="C22" s="5" t="s">
        <v>662</v>
      </c>
      <c r="D22" s="4" t="s">
        <v>673</v>
      </c>
    </row>
    <row r="23" spans="1:4" ht="16" x14ac:dyDescent="0.15">
      <c r="A23" s="4" t="s">
        <v>21</v>
      </c>
      <c r="B23" s="4" t="s">
        <v>696</v>
      </c>
      <c r="C23" s="5" t="s">
        <v>692</v>
      </c>
      <c r="D23" s="4" t="s">
        <v>688</v>
      </c>
    </row>
    <row r="24" spans="1:4" ht="16" x14ac:dyDescent="0.15">
      <c r="A24" s="4" t="s">
        <v>22</v>
      </c>
      <c r="B24" s="4" t="s">
        <v>697</v>
      </c>
      <c r="C24" s="5" t="s">
        <v>662</v>
      </c>
      <c r="D24" s="4" t="s">
        <v>673</v>
      </c>
    </row>
    <row r="25" spans="1:4" ht="32" x14ac:dyDescent="0.15">
      <c r="A25" s="4" t="s">
        <v>23</v>
      </c>
      <c r="B25" s="4" t="s">
        <v>698</v>
      </c>
      <c r="C25" s="5" t="s">
        <v>662</v>
      </c>
      <c r="D25" s="4" t="s">
        <v>673</v>
      </c>
    </row>
    <row r="26" spans="1:4" ht="16" x14ac:dyDescent="0.15">
      <c r="A26" s="4" t="s">
        <v>24</v>
      </c>
      <c r="B26" s="4" t="s">
        <v>699</v>
      </c>
      <c r="C26" s="5" t="s">
        <v>662</v>
      </c>
      <c r="D26" s="4" t="s">
        <v>673</v>
      </c>
    </row>
    <row r="27" spans="1:4" ht="16" x14ac:dyDescent="0.15">
      <c r="A27" s="4" t="s">
        <v>25</v>
      </c>
      <c r="B27" s="4" t="s">
        <v>700</v>
      </c>
      <c r="C27" s="5" t="s">
        <v>662</v>
      </c>
      <c r="D27" s="4" t="s">
        <v>701</v>
      </c>
    </row>
    <row r="28" spans="1:4" ht="32" x14ac:dyDescent="0.15">
      <c r="A28" s="4" t="s">
        <v>26</v>
      </c>
      <c r="B28" s="4" t="s">
        <v>702</v>
      </c>
      <c r="C28" s="5" t="s">
        <v>703</v>
      </c>
      <c r="D28" s="4" t="s">
        <v>688</v>
      </c>
    </row>
    <row r="29" spans="1:4" ht="32" x14ac:dyDescent="0.15">
      <c r="A29" s="4" t="s">
        <v>27</v>
      </c>
      <c r="B29" s="4" t="s">
        <v>704</v>
      </c>
      <c r="C29" s="5" t="s">
        <v>703</v>
      </c>
      <c r="D29" s="4" t="s">
        <v>688</v>
      </c>
    </row>
    <row r="30" spans="1:4" ht="32" x14ac:dyDescent="0.15">
      <c r="A30" s="4" t="s">
        <v>28</v>
      </c>
      <c r="B30" s="4" t="s">
        <v>705</v>
      </c>
      <c r="C30" s="5" t="s">
        <v>703</v>
      </c>
      <c r="D30" s="4" t="s">
        <v>688</v>
      </c>
    </row>
    <row r="31" spans="1:4" ht="16" x14ac:dyDescent="0.15">
      <c r="A31" s="4" t="s">
        <v>29</v>
      </c>
      <c r="B31" s="4" t="s">
        <v>706</v>
      </c>
      <c r="C31" s="5" t="s">
        <v>703</v>
      </c>
      <c r="D31" s="4" t="s">
        <v>688</v>
      </c>
    </row>
    <row r="32" spans="1:4" ht="16" x14ac:dyDescent="0.15">
      <c r="A32" s="4" t="s">
        <v>30</v>
      </c>
      <c r="B32" s="4" t="s">
        <v>707</v>
      </c>
      <c r="C32" s="5" t="s">
        <v>703</v>
      </c>
      <c r="D32" s="4" t="s">
        <v>688</v>
      </c>
    </row>
    <row r="33" spans="1:4" ht="16" x14ac:dyDescent="0.15">
      <c r="A33" s="4" t="s">
        <v>31</v>
      </c>
      <c r="B33" s="4" t="s">
        <v>708</v>
      </c>
      <c r="C33" s="5" t="s">
        <v>703</v>
      </c>
      <c r="D33" s="4" t="s">
        <v>688</v>
      </c>
    </row>
    <row r="34" spans="1:4" ht="16" x14ac:dyDescent="0.15">
      <c r="A34" s="4" t="s">
        <v>32</v>
      </c>
      <c r="B34" s="4" t="s">
        <v>709</v>
      </c>
      <c r="C34" s="5" t="s">
        <v>703</v>
      </c>
      <c r="D34" s="4" t="s">
        <v>688</v>
      </c>
    </row>
    <row r="35" spans="1:4" ht="16" x14ac:dyDescent="0.15">
      <c r="A35" s="4" t="s">
        <v>33</v>
      </c>
      <c r="B35" s="4" t="s">
        <v>710</v>
      </c>
      <c r="C35" s="5" t="s">
        <v>703</v>
      </c>
      <c r="D35" s="4" t="s">
        <v>688</v>
      </c>
    </row>
    <row r="36" spans="1:4" ht="16" x14ac:dyDescent="0.15">
      <c r="A36" s="4" t="s">
        <v>34</v>
      </c>
      <c r="B36" s="4" t="s">
        <v>711</v>
      </c>
      <c r="C36" s="5" t="s">
        <v>703</v>
      </c>
      <c r="D36" s="4" t="s">
        <v>688</v>
      </c>
    </row>
    <row r="37" spans="1:4" ht="16" x14ac:dyDescent="0.15">
      <c r="A37" s="4" t="s">
        <v>35</v>
      </c>
      <c r="B37" s="4" t="s">
        <v>712</v>
      </c>
      <c r="C37" s="5" t="s">
        <v>703</v>
      </c>
      <c r="D37" s="4" t="s">
        <v>688</v>
      </c>
    </row>
    <row r="38" spans="1:4" ht="16" x14ac:dyDescent="0.15">
      <c r="A38" s="4" t="s">
        <v>36</v>
      </c>
      <c r="B38" s="4" t="s">
        <v>713</v>
      </c>
      <c r="C38" s="5" t="s">
        <v>703</v>
      </c>
      <c r="D38" s="4" t="s">
        <v>688</v>
      </c>
    </row>
    <row r="39" spans="1:4" ht="16" x14ac:dyDescent="0.15">
      <c r="A39" s="4" t="s">
        <v>37</v>
      </c>
      <c r="B39" s="4" t="s">
        <v>714</v>
      </c>
      <c r="C39" s="5" t="s">
        <v>703</v>
      </c>
      <c r="D39" s="4" t="s">
        <v>688</v>
      </c>
    </row>
    <row r="40" spans="1:4" ht="16" x14ac:dyDescent="0.15">
      <c r="A40" s="4" t="s">
        <v>38</v>
      </c>
      <c r="B40" s="4" t="s">
        <v>715</v>
      </c>
      <c r="C40" s="5" t="s">
        <v>703</v>
      </c>
      <c r="D40" s="4" t="s">
        <v>688</v>
      </c>
    </row>
    <row r="41" spans="1:4" ht="16" x14ac:dyDescent="0.15">
      <c r="A41" s="4" t="s">
        <v>39</v>
      </c>
      <c r="B41" s="4" t="s">
        <v>716</v>
      </c>
      <c r="C41" s="5" t="s">
        <v>703</v>
      </c>
      <c r="D41" s="4" t="s">
        <v>688</v>
      </c>
    </row>
    <row r="42" spans="1:4" ht="16" x14ac:dyDescent="0.15">
      <c r="A42" s="4" t="s">
        <v>40</v>
      </c>
      <c r="B42" s="4" t="s">
        <v>717</v>
      </c>
      <c r="C42" s="5" t="s">
        <v>703</v>
      </c>
      <c r="D42" s="4" t="s">
        <v>688</v>
      </c>
    </row>
    <row r="43" spans="1:4" ht="16" x14ac:dyDescent="0.15">
      <c r="A43" s="4" t="s">
        <v>41</v>
      </c>
      <c r="B43" s="4" t="s">
        <v>718</v>
      </c>
      <c r="C43" s="5" t="s">
        <v>703</v>
      </c>
      <c r="D43" s="4" t="s">
        <v>688</v>
      </c>
    </row>
    <row r="44" spans="1:4" ht="16" x14ac:dyDescent="0.15">
      <c r="A44" s="4" t="s">
        <v>42</v>
      </c>
      <c r="B44" s="4" t="s">
        <v>719</v>
      </c>
      <c r="C44" s="5" t="s">
        <v>703</v>
      </c>
      <c r="D44" s="4" t="s">
        <v>688</v>
      </c>
    </row>
    <row r="45" spans="1:4" ht="16" x14ac:dyDescent="0.15">
      <c r="A45" s="4" t="s">
        <v>43</v>
      </c>
      <c r="B45" s="4" t="s">
        <v>720</v>
      </c>
      <c r="C45" s="5" t="s">
        <v>703</v>
      </c>
      <c r="D45" s="4" t="s">
        <v>688</v>
      </c>
    </row>
    <row r="46" spans="1:4" ht="16" x14ac:dyDescent="0.15">
      <c r="A46" s="4" t="s">
        <v>44</v>
      </c>
      <c r="B46" s="4" t="s">
        <v>721</v>
      </c>
      <c r="C46" s="5" t="s">
        <v>703</v>
      </c>
      <c r="D46" s="4" t="s">
        <v>688</v>
      </c>
    </row>
    <row r="47" spans="1:4" ht="16" x14ac:dyDescent="0.15">
      <c r="A47" s="4" t="s">
        <v>45</v>
      </c>
      <c r="B47" s="4" t="s">
        <v>722</v>
      </c>
      <c r="C47" s="5" t="s">
        <v>703</v>
      </c>
      <c r="D47" s="4" t="s">
        <v>688</v>
      </c>
    </row>
    <row r="48" spans="1:4" ht="16" x14ac:dyDescent="0.15">
      <c r="A48" s="4" t="s">
        <v>46</v>
      </c>
      <c r="B48" s="4" t="s">
        <v>723</v>
      </c>
      <c r="C48" s="5" t="s">
        <v>703</v>
      </c>
      <c r="D48" s="4" t="s">
        <v>688</v>
      </c>
    </row>
    <row r="49" spans="1:4" ht="16" x14ac:dyDescent="0.15">
      <c r="A49" s="4" t="s">
        <v>47</v>
      </c>
      <c r="B49" s="4" t="s">
        <v>724</v>
      </c>
      <c r="C49" s="5" t="s">
        <v>703</v>
      </c>
      <c r="D49" s="4" t="s">
        <v>688</v>
      </c>
    </row>
    <row r="50" spans="1:4" ht="16" x14ac:dyDescent="0.15">
      <c r="A50" s="4" t="s">
        <v>48</v>
      </c>
      <c r="B50" s="4" t="s">
        <v>725</v>
      </c>
      <c r="C50" s="5" t="s">
        <v>703</v>
      </c>
      <c r="D50" s="4" t="s">
        <v>688</v>
      </c>
    </row>
    <row r="51" spans="1:4" ht="16" x14ac:dyDescent="0.15">
      <c r="A51" s="4" t="s">
        <v>49</v>
      </c>
      <c r="B51" s="4" t="s">
        <v>726</v>
      </c>
      <c r="C51" s="5" t="s">
        <v>703</v>
      </c>
      <c r="D51" s="4" t="s">
        <v>688</v>
      </c>
    </row>
    <row r="52" spans="1:4" ht="16" x14ac:dyDescent="0.15">
      <c r="A52" s="4" t="s">
        <v>50</v>
      </c>
      <c r="B52" s="4" t="s">
        <v>727</v>
      </c>
      <c r="C52" s="5" t="s">
        <v>703</v>
      </c>
      <c r="D52" s="4" t="s">
        <v>688</v>
      </c>
    </row>
    <row r="53" spans="1:4" ht="16" x14ac:dyDescent="0.15">
      <c r="A53" s="4" t="s">
        <v>51</v>
      </c>
      <c r="B53" s="4" t="s">
        <v>728</v>
      </c>
      <c r="C53" s="5" t="s">
        <v>703</v>
      </c>
      <c r="D53" s="4" t="s">
        <v>688</v>
      </c>
    </row>
    <row r="54" spans="1:4" ht="16" x14ac:dyDescent="0.15">
      <c r="A54" s="4" t="s">
        <v>52</v>
      </c>
      <c r="B54" s="4" t="s">
        <v>729</v>
      </c>
      <c r="C54" s="5" t="s">
        <v>703</v>
      </c>
      <c r="D54" s="4" t="s">
        <v>688</v>
      </c>
    </row>
    <row r="55" spans="1:4" ht="16" x14ac:dyDescent="0.15">
      <c r="A55" s="4" t="s">
        <v>53</v>
      </c>
      <c r="B55" s="4" t="s">
        <v>730</v>
      </c>
      <c r="C55" s="5" t="s">
        <v>703</v>
      </c>
      <c r="D55" s="4" t="s">
        <v>688</v>
      </c>
    </row>
    <row r="56" spans="1:4" ht="16" x14ac:dyDescent="0.15">
      <c r="A56" s="4" t="s">
        <v>54</v>
      </c>
      <c r="B56" s="4" t="s">
        <v>731</v>
      </c>
      <c r="C56" s="5" t="s">
        <v>703</v>
      </c>
      <c r="D56" s="4" t="s">
        <v>688</v>
      </c>
    </row>
    <row r="57" spans="1:4" ht="16" x14ac:dyDescent="0.15">
      <c r="A57" s="4" t="s">
        <v>55</v>
      </c>
      <c r="B57" s="4" t="s">
        <v>732</v>
      </c>
      <c r="C57" s="5" t="s">
        <v>662</v>
      </c>
      <c r="D57" s="4" t="s">
        <v>733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4190F-5936-5948-B087-4E9864DB0B67}">
  <sheetPr codeName="Sheet6"/>
  <dimension ref="A1:CF85"/>
  <sheetViews>
    <sheetView workbookViewId="0">
      <pane ySplit="1" topLeftCell="A2" activePane="bottomLeft" state="frozen"/>
      <selection pane="bottomLeft" activeCell="A2" sqref="A2:XFD2"/>
    </sheetView>
  </sheetViews>
  <sheetFormatPr baseColWidth="10" defaultRowHeight="13" x14ac:dyDescent="0.15"/>
  <cols>
    <col min="1" max="1" width="10.1640625" style="6" bestFit="1" customWidth="1"/>
    <col min="2" max="2" width="12.5" style="7" bestFit="1" customWidth="1"/>
    <col min="3" max="3" width="14.5" style="6" bestFit="1" customWidth="1"/>
    <col min="4" max="4" width="14.83203125" style="6" bestFit="1" customWidth="1"/>
    <col min="5" max="5" width="28.6640625" style="6" bestFit="1" customWidth="1"/>
    <col min="6" max="6" width="17.83203125" style="6" bestFit="1" customWidth="1"/>
    <col min="7" max="7" width="8" style="7" bestFit="1" customWidth="1"/>
    <col min="8" max="8" width="17.83203125" style="7" bestFit="1" customWidth="1"/>
    <col min="9" max="9" width="24.1640625" style="7" bestFit="1" customWidth="1"/>
    <col min="10" max="10" width="7" style="6" bestFit="1" customWidth="1"/>
    <col min="11" max="11" width="10.83203125" style="6" bestFit="1" customWidth="1"/>
    <col min="12" max="12" width="4.1640625" style="7" bestFit="1" customWidth="1"/>
    <col min="13" max="13" width="15.33203125" style="6" bestFit="1" customWidth="1"/>
    <col min="14" max="14" width="12.6640625" style="6" bestFit="1" customWidth="1"/>
    <col min="15" max="15" width="21" style="7" bestFit="1" customWidth="1"/>
    <col min="16" max="16" width="14.83203125" style="6" bestFit="1" customWidth="1"/>
    <col min="17" max="17" width="122.1640625" style="6" bestFit="1" customWidth="1"/>
    <col min="18" max="18" width="9.5" style="6" bestFit="1" customWidth="1"/>
    <col min="19" max="19" width="35.5" style="6" bestFit="1" customWidth="1"/>
    <col min="20" max="20" width="72.33203125" style="6" bestFit="1" customWidth="1"/>
    <col min="21" max="22" width="30.33203125" style="6" bestFit="1" customWidth="1"/>
    <col min="23" max="23" width="169.1640625" style="6" bestFit="1" customWidth="1"/>
    <col min="24" max="24" width="196.83203125" style="6" bestFit="1" customWidth="1"/>
    <col min="25" max="25" width="26.33203125" style="6" bestFit="1" customWidth="1"/>
    <col min="26" max="26" width="33" style="6" bestFit="1" customWidth="1"/>
    <col min="27" max="27" width="63.33203125" style="6" bestFit="1" customWidth="1"/>
    <col min="28" max="28" width="63.6640625" style="6" bestFit="1" customWidth="1"/>
    <col min="29" max="29" width="68.5" style="6" bestFit="1" customWidth="1"/>
    <col min="30" max="30" width="43.6640625" style="6" bestFit="1" customWidth="1"/>
    <col min="31" max="34" width="26.1640625" style="6" bestFit="1" customWidth="1"/>
    <col min="35" max="38" width="33.83203125" style="6" bestFit="1" customWidth="1"/>
    <col min="39" max="44" width="22.33203125" style="6" bestFit="1" customWidth="1"/>
    <col min="45" max="48" width="25" style="6" bestFit="1" customWidth="1"/>
    <col min="49" max="50" width="32.33203125" style="6" bestFit="1" customWidth="1"/>
    <col min="51" max="51" width="31.83203125" style="6" bestFit="1" customWidth="1"/>
    <col min="52" max="52" width="32" style="6" bestFit="1" customWidth="1"/>
    <col min="53" max="53" width="22.6640625" style="6" bestFit="1" customWidth="1"/>
    <col min="54" max="55" width="28.1640625" style="6" bestFit="1" customWidth="1"/>
    <col min="56" max="56" width="36" style="6" bestFit="1" customWidth="1"/>
    <col min="57" max="57" width="43.83203125" style="6" bestFit="1" customWidth="1"/>
    <col min="58" max="58" width="56" style="6" bestFit="1" customWidth="1"/>
    <col min="59" max="59" width="51" style="6" bestFit="1" customWidth="1"/>
    <col min="60" max="60" width="36.1640625" style="6" bestFit="1" customWidth="1"/>
    <col min="61" max="61" width="41.33203125" style="6" bestFit="1" customWidth="1"/>
    <col min="62" max="62" width="32.83203125" style="6" bestFit="1" customWidth="1"/>
    <col min="63" max="63" width="34.5" style="6" bestFit="1" customWidth="1"/>
    <col min="64" max="64" width="34.6640625" style="6" bestFit="1" customWidth="1"/>
    <col min="65" max="65" width="40.5" style="6" bestFit="1" customWidth="1"/>
    <col min="66" max="66" width="45.5" style="6" bestFit="1" customWidth="1"/>
    <col min="67" max="67" width="35.6640625" style="6" bestFit="1" customWidth="1"/>
    <col min="68" max="68" width="49.5" style="6" bestFit="1" customWidth="1"/>
    <col min="69" max="69" width="31.5" style="6" bestFit="1" customWidth="1"/>
    <col min="70" max="70" width="56.1640625" style="6" bestFit="1" customWidth="1"/>
    <col min="71" max="71" width="61.1640625" style="6" bestFit="1" customWidth="1"/>
    <col min="72" max="72" width="47.5" style="6" bestFit="1" customWidth="1"/>
    <col min="73" max="73" width="122.33203125" style="6" bestFit="1" customWidth="1"/>
    <col min="74" max="74" width="42.83203125" style="6" bestFit="1" customWidth="1"/>
    <col min="75" max="75" width="46.83203125" style="6" bestFit="1" customWidth="1"/>
    <col min="76" max="76" width="26" style="6" bestFit="1" customWidth="1"/>
    <col min="77" max="77" width="63.1640625" style="6" bestFit="1" customWidth="1"/>
    <col min="78" max="78" width="255.83203125" style="6" bestFit="1" customWidth="1"/>
    <col min="79" max="79" width="37.6640625" style="6" bestFit="1" customWidth="1"/>
    <col min="80" max="80" width="171" style="6" bestFit="1" customWidth="1"/>
    <col min="81" max="81" width="209.6640625" style="6" bestFit="1" customWidth="1"/>
    <col min="82" max="82" width="104.33203125" style="6" bestFit="1" customWidth="1"/>
    <col min="83" max="83" width="255.83203125" style="6" bestFit="1" customWidth="1"/>
    <col min="84" max="84" width="47" style="6" bestFit="1" customWidth="1"/>
  </cols>
  <sheetData>
    <row r="1" spans="1:84" ht="15" x14ac:dyDescent="0.15">
      <c r="A1" s="15" t="s">
        <v>0</v>
      </c>
      <c r="B1" s="16" t="s">
        <v>1</v>
      </c>
      <c r="C1" s="15" t="s">
        <v>2</v>
      </c>
      <c r="D1" s="15" t="s">
        <v>3</v>
      </c>
      <c r="E1" s="15" t="s">
        <v>4</v>
      </c>
      <c r="F1" s="15" t="s">
        <v>5</v>
      </c>
      <c r="G1" s="16" t="s">
        <v>6</v>
      </c>
      <c r="H1" s="16" t="s">
        <v>7</v>
      </c>
      <c r="I1" s="16" t="s">
        <v>8</v>
      </c>
      <c r="J1" s="15" t="s">
        <v>9</v>
      </c>
      <c r="K1" s="15" t="s">
        <v>10</v>
      </c>
      <c r="L1" s="16" t="s">
        <v>11</v>
      </c>
      <c r="M1" s="15" t="s">
        <v>12</v>
      </c>
      <c r="N1" s="15" t="s">
        <v>13</v>
      </c>
      <c r="O1" s="16"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c r="AN1" s="15" t="s">
        <v>39</v>
      </c>
      <c r="AO1" s="15" t="s">
        <v>40</v>
      </c>
      <c r="AP1" s="15" t="s">
        <v>41</v>
      </c>
      <c r="AQ1" s="15" t="s">
        <v>42</v>
      </c>
      <c r="AR1" s="15" t="s">
        <v>43</v>
      </c>
      <c r="AS1" s="15" t="s">
        <v>44</v>
      </c>
      <c r="AT1" s="15" t="s">
        <v>45</v>
      </c>
      <c r="AU1" s="15" t="s">
        <v>46</v>
      </c>
      <c r="AV1" s="15" t="s">
        <v>47</v>
      </c>
      <c r="AW1" s="15" t="s">
        <v>48</v>
      </c>
      <c r="AX1" s="15" t="s">
        <v>49</v>
      </c>
      <c r="AY1" s="15" t="s">
        <v>50</v>
      </c>
      <c r="AZ1" s="15" t="s">
        <v>51</v>
      </c>
      <c r="BA1" s="15" t="s">
        <v>52</v>
      </c>
      <c r="BB1" s="15" t="s">
        <v>53</v>
      </c>
      <c r="BC1" s="15" t="s">
        <v>54</v>
      </c>
      <c r="BD1" s="15" t="s">
        <v>55</v>
      </c>
      <c r="BE1" s="15" t="s">
        <v>56</v>
      </c>
      <c r="BF1" s="15" t="s">
        <v>57</v>
      </c>
      <c r="BG1" s="15" t="s">
        <v>58</v>
      </c>
      <c r="BH1" s="15" t="s">
        <v>59</v>
      </c>
      <c r="BI1" s="15" t="s">
        <v>60</v>
      </c>
      <c r="BJ1" s="15" t="s">
        <v>61</v>
      </c>
      <c r="BK1" s="15" t="s">
        <v>62</v>
      </c>
      <c r="BL1" s="15" t="s">
        <v>63</v>
      </c>
      <c r="BM1" s="15" t="s">
        <v>64</v>
      </c>
      <c r="BN1" s="15" t="s">
        <v>65</v>
      </c>
      <c r="BO1" s="15" t="s">
        <v>66</v>
      </c>
      <c r="BP1" s="15" t="s">
        <v>67</v>
      </c>
      <c r="BQ1" s="15" t="s">
        <v>68</v>
      </c>
      <c r="BR1" s="15" t="s">
        <v>69</v>
      </c>
      <c r="BS1" s="15" t="s">
        <v>70</v>
      </c>
      <c r="BT1" s="15" t="s">
        <v>71</v>
      </c>
      <c r="BU1" s="15" t="s">
        <v>72</v>
      </c>
      <c r="BV1" s="15" t="s">
        <v>73</v>
      </c>
      <c r="BW1" s="15" t="s">
        <v>74</v>
      </c>
      <c r="BX1" s="15" t="s">
        <v>75</v>
      </c>
      <c r="BY1" s="15" t="s">
        <v>76</v>
      </c>
      <c r="BZ1" s="15" t="s">
        <v>19</v>
      </c>
      <c r="CA1" s="15" t="s">
        <v>77</v>
      </c>
      <c r="CB1" s="15" t="s">
        <v>78</v>
      </c>
      <c r="CC1" s="15" t="s">
        <v>79</v>
      </c>
      <c r="CD1" s="15" t="s">
        <v>80</v>
      </c>
      <c r="CE1" s="15" t="s">
        <v>81</v>
      </c>
      <c r="CF1" s="15" t="s">
        <v>82</v>
      </c>
    </row>
    <row r="2" spans="1:84" ht="15" x14ac:dyDescent="0.2">
      <c r="A2" s="17" t="s">
        <v>225</v>
      </c>
      <c r="B2" s="18">
        <v>48213552</v>
      </c>
      <c r="C2" s="19">
        <v>45412.714583333334</v>
      </c>
      <c r="D2" s="17" t="s">
        <v>226</v>
      </c>
      <c r="E2" s="17" t="s">
        <v>145</v>
      </c>
      <c r="F2" s="20"/>
      <c r="G2" s="21">
        <v>599</v>
      </c>
      <c r="H2" s="21">
        <v>627.21</v>
      </c>
      <c r="I2" s="21">
        <v>28.21</v>
      </c>
      <c r="J2" s="17" t="s">
        <v>97</v>
      </c>
      <c r="K2" s="22">
        <v>33990</v>
      </c>
      <c r="L2" s="18">
        <v>31</v>
      </c>
      <c r="M2" s="17" t="s">
        <v>171</v>
      </c>
      <c r="N2" s="17" t="s">
        <v>162</v>
      </c>
      <c r="O2" s="18">
        <v>10029</v>
      </c>
      <c r="P2" s="17" t="s">
        <v>86</v>
      </c>
      <c r="Q2" s="17" t="s">
        <v>87</v>
      </c>
      <c r="R2" s="17" t="s">
        <v>98</v>
      </c>
      <c r="S2" s="17" t="s">
        <v>94</v>
      </c>
      <c r="T2" s="17"/>
      <c r="U2" s="17" t="s">
        <v>151</v>
      </c>
      <c r="V2" s="20"/>
      <c r="W2" s="17"/>
      <c r="X2" s="17"/>
      <c r="Y2" s="17" t="s">
        <v>103</v>
      </c>
      <c r="Z2" s="20"/>
      <c r="AA2" s="17"/>
      <c r="AB2" s="17"/>
      <c r="AC2" s="17"/>
      <c r="AD2" s="17" t="s">
        <v>91</v>
      </c>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t="s">
        <v>91</v>
      </c>
      <c r="BM2" s="17"/>
      <c r="BN2" s="17"/>
      <c r="BO2" s="17"/>
      <c r="BP2" s="17"/>
      <c r="BQ2" s="17"/>
      <c r="BR2" s="17"/>
      <c r="BS2" s="17" t="s">
        <v>91</v>
      </c>
      <c r="BT2" s="17"/>
      <c r="BU2" s="17" t="s">
        <v>227</v>
      </c>
      <c r="BV2" s="17" t="s">
        <v>228</v>
      </c>
      <c r="BW2" s="20"/>
      <c r="BX2" s="17"/>
      <c r="BY2" s="17" t="s">
        <v>92</v>
      </c>
      <c r="BZ2" s="17"/>
      <c r="CA2" s="17" t="s">
        <v>156</v>
      </c>
      <c r="CB2" s="17" t="s">
        <v>229</v>
      </c>
      <c r="CC2" s="17" t="s">
        <v>230</v>
      </c>
      <c r="CD2" s="17" t="s">
        <v>231</v>
      </c>
      <c r="CE2" s="20"/>
      <c r="CF2" s="17" t="s">
        <v>91</v>
      </c>
    </row>
    <row r="3" spans="1:84" ht="15" x14ac:dyDescent="0.2">
      <c r="A3" s="17" t="s">
        <v>225</v>
      </c>
      <c r="B3" s="18">
        <v>49091675</v>
      </c>
      <c r="C3" s="19">
        <v>45441.57708333333</v>
      </c>
      <c r="D3" s="17" t="s">
        <v>232</v>
      </c>
      <c r="E3" s="17" t="s">
        <v>168</v>
      </c>
      <c r="F3" s="17" t="s">
        <v>233</v>
      </c>
      <c r="G3" s="21">
        <v>725</v>
      </c>
      <c r="H3" s="21">
        <v>625.42999999999995</v>
      </c>
      <c r="I3" s="21">
        <v>26.43</v>
      </c>
      <c r="J3" s="17" t="s">
        <v>97</v>
      </c>
      <c r="K3" s="22">
        <v>32854</v>
      </c>
      <c r="L3" s="18">
        <v>34</v>
      </c>
      <c r="M3" s="17" t="s">
        <v>175</v>
      </c>
      <c r="N3" s="17" t="s">
        <v>167</v>
      </c>
      <c r="O3" s="18" t="s">
        <v>234</v>
      </c>
      <c r="P3" s="17" t="s">
        <v>86</v>
      </c>
      <c r="Q3" s="17" t="s">
        <v>87</v>
      </c>
      <c r="R3" s="17" t="s">
        <v>88</v>
      </c>
      <c r="S3" s="17" t="s">
        <v>94</v>
      </c>
      <c r="T3" s="17"/>
      <c r="U3" s="17" t="s">
        <v>159</v>
      </c>
      <c r="V3" s="20"/>
      <c r="W3" s="17"/>
      <c r="X3" s="17" t="s">
        <v>235</v>
      </c>
      <c r="Y3" s="17" t="s">
        <v>95</v>
      </c>
      <c r="Z3" s="17"/>
      <c r="AA3" s="17" t="s">
        <v>91</v>
      </c>
      <c r="AB3" s="17"/>
      <c r="AC3" s="17"/>
      <c r="AD3" s="17"/>
      <c r="AE3" s="17"/>
      <c r="AF3" s="17"/>
      <c r="AG3" s="17"/>
      <c r="AH3" s="17" t="s">
        <v>91</v>
      </c>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t="s">
        <v>91</v>
      </c>
      <c r="BT3" s="17"/>
      <c r="BU3" s="17" t="s">
        <v>236</v>
      </c>
      <c r="BV3" s="17"/>
      <c r="BW3" s="17"/>
      <c r="BX3" s="17"/>
      <c r="BY3" s="17" t="s">
        <v>92</v>
      </c>
      <c r="BZ3" s="17"/>
      <c r="CA3" s="17" t="s">
        <v>92</v>
      </c>
      <c r="CB3" s="17" t="s">
        <v>237</v>
      </c>
      <c r="CC3" s="17" t="s">
        <v>238</v>
      </c>
      <c r="CD3" s="17" t="s">
        <v>110</v>
      </c>
      <c r="CE3" s="17"/>
      <c r="CF3" s="17" t="s">
        <v>91</v>
      </c>
    </row>
    <row r="4" spans="1:84" ht="15" x14ac:dyDescent="0.2">
      <c r="A4" s="17" t="s">
        <v>225</v>
      </c>
      <c r="B4" s="18">
        <v>46953530</v>
      </c>
      <c r="C4" s="19">
        <v>45378.385416666664</v>
      </c>
      <c r="D4" s="17" t="s">
        <v>239</v>
      </c>
      <c r="E4" s="17" t="s">
        <v>145</v>
      </c>
      <c r="F4" s="17" t="s">
        <v>113</v>
      </c>
      <c r="G4" s="21">
        <v>599</v>
      </c>
      <c r="H4" s="21">
        <v>0</v>
      </c>
      <c r="I4" s="21">
        <v>0</v>
      </c>
      <c r="J4" s="17" t="s">
        <v>84</v>
      </c>
      <c r="K4" s="22">
        <v>36284</v>
      </c>
      <c r="L4" s="18">
        <v>24</v>
      </c>
      <c r="M4" s="17" t="s">
        <v>240</v>
      </c>
      <c r="N4" s="17" t="s">
        <v>215</v>
      </c>
      <c r="O4" s="18">
        <v>22314</v>
      </c>
      <c r="P4" s="17" t="s">
        <v>86</v>
      </c>
      <c r="Q4" s="17" t="s">
        <v>87</v>
      </c>
      <c r="R4" s="17" t="s">
        <v>88</v>
      </c>
      <c r="S4" s="17" t="s">
        <v>112</v>
      </c>
      <c r="T4" s="20"/>
      <c r="U4" s="17" t="s">
        <v>159</v>
      </c>
      <c r="V4" s="20"/>
      <c r="W4" s="17"/>
      <c r="X4" s="17" t="s">
        <v>241</v>
      </c>
      <c r="Y4" s="17" t="s">
        <v>106</v>
      </c>
      <c r="Z4" s="20"/>
      <c r="AA4" s="17" t="s">
        <v>91</v>
      </c>
      <c r="AB4" s="17" t="s">
        <v>91</v>
      </c>
      <c r="AC4" s="17" t="s">
        <v>91</v>
      </c>
      <c r="AD4" s="17"/>
      <c r="AE4" s="17"/>
      <c r="AF4" s="17"/>
      <c r="AG4" s="17"/>
      <c r="AH4" s="17"/>
      <c r="AI4" s="17"/>
      <c r="AJ4" s="17"/>
      <c r="AK4" s="17" t="s">
        <v>91</v>
      </c>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t="s">
        <v>91</v>
      </c>
      <c r="BT4" s="17"/>
      <c r="BU4" s="17" t="s">
        <v>242</v>
      </c>
      <c r="BV4" s="17"/>
      <c r="BW4" s="17"/>
      <c r="BX4" s="17"/>
      <c r="BY4" s="17" t="s">
        <v>92</v>
      </c>
      <c r="BZ4" s="17"/>
      <c r="CA4" s="17" t="s">
        <v>148</v>
      </c>
      <c r="CB4" s="17" t="s">
        <v>243</v>
      </c>
      <c r="CC4" s="17" t="s">
        <v>244</v>
      </c>
      <c r="CD4" s="17" t="s">
        <v>245</v>
      </c>
      <c r="CE4" s="17"/>
      <c r="CF4" s="17" t="s">
        <v>91</v>
      </c>
    </row>
    <row r="5" spans="1:84" ht="15" x14ac:dyDescent="0.2">
      <c r="A5" s="17" t="s">
        <v>225</v>
      </c>
      <c r="B5" s="18">
        <v>49725597</v>
      </c>
      <c r="C5" s="19">
        <v>45464.158333333333</v>
      </c>
      <c r="D5" s="17" t="s">
        <v>246</v>
      </c>
      <c r="E5" s="17" t="s">
        <v>168</v>
      </c>
      <c r="F5" s="17" t="s">
        <v>247</v>
      </c>
      <c r="G5" s="21">
        <v>725</v>
      </c>
      <c r="H5" s="21">
        <v>625.42999999999995</v>
      </c>
      <c r="I5" s="21">
        <v>26.43</v>
      </c>
      <c r="J5" s="17" t="s">
        <v>84</v>
      </c>
      <c r="K5" s="22">
        <v>33270</v>
      </c>
      <c r="L5" s="18">
        <v>33</v>
      </c>
      <c r="M5" s="17" t="s">
        <v>248</v>
      </c>
      <c r="N5" s="17" t="s">
        <v>164</v>
      </c>
      <c r="O5" s="18">
        <v>20895</v>
      </c>
      <c r="P5" s="17" t="s">
        <v>86</v>
      </c>
      <c r="Q5" s="17" t="s">
        <v>87</v>
      </c>
      <c r="R5" s="17" t="s">
        <v>98</v>
      </c>
      <c r="S5" s="17" t="s">
        <v>94</v>
      </c>
      <c r="T5" s="17"/>
      <c r="U5" s="17" t="s">
        <v>159</v>
      </c>
      <c r="V5" s="20"/>
      <c r="W5" s="17"/>
      <c r="X5" s="17" t="s">
        <v>249</v>
      </c>
      <c r="Y5" s="17" t="s">
        <v>100</v>
      </c>
      <c r="Z5" s="17"/>
      <c r="AA5" s="17" t="s">
        <v>91</v>
      </c>
      <c r="AB5" s="17"/>
      <c r="AC5" s="17"/>
      <c r="AD5" s="17"/>
      <c r="AE5" s="17"/>
      <c r="AF5" s="17" t="s">
        <v>91</v>
      </c>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t="s">
        <v>91</v>
      </c>
      <c r="BT5" s="17"/>
      <c r="BU5" s="17" t="s">
        <v>176</v>
      </c>
      <c r="BV5" s="17"/>
      <c r="BW5" s="17"/>
      <c r="BX5" s="17"/>
      <c r="BY5" s="17" t="s">
        <v>92</v>
      </c>
      <c r="BZ5" s="17"/>
      <c r="CA5" s="17" t="s">
        <v>92</v>
      </c>
      <c r="CB5" s="17" t="s">
        <v>123</v>
      </c>
      <c r="CC5" s="17" t="s">
        <v>250</v>
      </c>
      <c r="CD5" s="17" t="s">
        <v>109</v>
      </c>
      <c r="CE5" s="17" t="s">
        <v>203</v>
      </c>
      <c r="CF5" s="17" t="s">
        <v>91</v>
      </c>
    </row>
    <row r="6" spans="1:84" ht="15" x14ac:dyDescent="0.2">
      <c r="A6" s="17" t="s">
        <v>225</v>
      </c>
      <c r="B6" s="18">
        <v>46905782</v>
      </c>
      <c r="C6" s="19">
        <v>45376.511111111111</v>
      </c>
      <c r="D6" s="17" t="s">
        <v>251</v>
      </c>
      <c r="E6" s="17" t="s">
        <v>154</v>
      </c>
      <c r="F6" s="17"/>
      <c r="G6" s="21">
        <v>825</v>
      </c>
      <c r="H6" s="21">
        <v>859.04</v>
      </c>
      <c r="I6" s="21">
        <v>34.049999999999997</v>
      </c>
      <c r="J6" s="17" t="s">
        <v>97</v>
      </c>
      <c r="K6" s="22">
        <v>35397</v>
      </c>
      <c r="L6" s="18">
        <v>27</v>
      </c>
      <c r="M6" s="17" t="s">
        <v>213</v>
      </c>
      <c r="N6" s="17" t="s">
        <v>214</v>
      </c>
      <c r="O6" s="18" t="s">
        <v>252</v>
      </c>
      <c r="P6" s="17" t="s">
        <v>86</v>
      </c>
      <c r="Q6" s="17" t="s">
        <v>87</v>
      </c>
      <c r="R6" s="17" t="s">
        <v>98</v>
      </c>
      <c r="S6" s="17" t="s">
        <v>94</v>
      </c>
      <c r="T6" s="17"/>
      <c r="U6" s="17"/>
      <c r="V6" s="17" t="s">
        <v>91</v>
      </c>
      <c r="W6" s="17" t="s">
        <v>253</v>
      </c>
      <c r="X6" s="20"/>
      <c r="Y6" s="17" t="s">
        <v>100</v>
      </c>
      <c r="Z6" s="17"/>
      <c r="AA6" s="17" t="s">
        <v>91</v>
      </c>
      <c r="AB6" s="17" t="s">
        <v>91</v>
      </c>
      <c r="AC6" s="17"/>
      <c r="AD6" s="17"/>
      <c r="AE6" s="17"/>
      <c r="AF6" s="17" t="s">
        <v>91</v>
      </c>
      <c r="AG6" s="17" t="s">
        <v>91</v>
      </c>
      <c r="AH6" s="17" t="s">
        <v>91</v>
      </c>
      <c r="AI6" s="17" t="s">
        <v>91</v>
      </c>
      <c r="AJ6" s="17"/>
      <c r="AK6" s="17" t="s">
        <v>91</v>
      </c>
      <c r="AL6" s="17"/>
      <c r="AM6" s="17"/>
      <c r="AN6" s="17"/>
      <c r="AO6" s="17"/>
      <c r="AP6" s="17"/>
      <c r="AQ6" s="17"/>
      <c r="AR6" s="17"/>
      <c r="AS6" s="17"/>
      <c r="AT6" s="17"/>
      <c r="AU6" s="17" t="s">
        <v>91</v>
      </c>
      <c r="AV6" s="17"/>
      <c r="AW6" s="17"/>
      <c r="AX6" s="17"/>
      <c r="AY6" s="17"/>
      <c r="AZ6" s="17"/>
      <c r="BA6" s="17"/>
      <c r="BB6" s="17"/>
      <c r="BC6" s="17"/>
      <c r="BD6" s="17"/>
      <c r="BE6" s="17"/>
      <c r="BF6" s="17"/>
      <c r="BG6" s="17"/>
      <c r="BH6" s="17"/>
      <c r="BI6" s="17"/>
      <c r="BJ6" s="17"/>
      <c r="BK6" s="17"/>
      <c r="BL6" s="17"/>
      <c r="BM6" s="17"/>
      <c r="BN6" s="17"/>
      <c r="BO6" s="17"/>
      <c r="BP6" s="17"/>
      <c r="BQ6" s="17"/>
      <c r="BR6" s="17" t="s">
        <v>91</v>
      </c>
      <c r="BS6" s="17" t="s">
        <v>91</v>
      </c>
      <c r="BT6" s="17"/>
      <c r="BU6" s="17" t="s">
        <v>254</v>
      </c>
      <c r="BV6" s="17"/>
      <c r="BW6" s="17"/>
      <c r="BX6" s="17"/>
      <c r="BY6" s="17" t="s">
        <v>92</v>
      </c>
      <c r="BZ6" s="17"/>
      <c r="CA6" s="17" t="s">
        <v>148</v>
      </c>
      <c r="CB6" s="20"/>
      <c r="CC6" s="17" t="s">
        <v>255</v>
      </c>
      <c r="CD6" s="17" t="s">
        <v>256</v>
      </c>
      <c r="CE6" s="17" t="s">
        <v>92</v>
      </c>
      <c r="CF6" s="17" t="s">
        <v>91</v>
      </c>
    </row>
    <row r="7" spans="1:84" ht="15" x14ac:dyDescent="0.2">
      <c r="A7" s="17" t="s">
        <v>225</v>
      </c>
      <c r="B7" s="18">
        <v>49088739</v>
      </c>
      <c r="C7" s="19">
        <v>45441.509722222225</v>
      </c>
      <c r="D7" s="17" t="s">
        <v>257</v>
      </c>
      <c r="E7" s="17" t="s">
        <v>168</v>
      </c>
      <c r="F7" s="23"/>
      <c r="G7" s="21">
        <v>725</v>
      </c>
      <c r="H7" s="21">
        <v>755.84</v>
      </c>
      <c r="I7" s="21">
        <v>30.84</v>
      </c>
      <c r="J7" s="17" t="s">
        <v>84</v>
      </c>
      <c r="K7" s="22">
        <v>33275</v>
      </c>
      <c r="L7" s="18">
        <v>33</v>
      </c>
      <c r="M7" s="17" t="s">
        <v>240</v>
      </c>
      <c r="N7" s="17" t="s">
        <v>215</v>
      </c>
      <c r="O7" s="18">
        <v>22314</v>
      </c>
      <c r="P7" s="17" t="s">
        <v>86</v>
      </c>
      <c r="Q7" s="17" t="s">
        <v>87</v>
      </c>
      <c r="R7" s="17" t="s">
        <v>88</v>
      </c>
      <c r="S7" s="17" t="s">
        <v>94</v>
      </c>
      <c r="T7" s="17"/>
      <c r="U7" s="17" t="s">
        <v>159</v>
      </c>
      <c r="V7" s="20"/>
      <c r="W7" s="17"/>
      <c r="X7" s="17"/>
      <c r="Y7" s="17" t="s">
        <v>95</v>
      </c>
      <c r="Z7" s="17"/>
      <c r="AA7" s="17"/>
      <c r="AB7" s="17" t="s">
        <v>91</v>
      </c>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t="s">
        <v>91</v>
      </c>
      <c r="BM7" s="17"/>
      <c r="BN7" s="17"/>
      <c r="BO7" s="17"/>
      <c r="BP7" s="17"/>
      <c r="BQ7" s="17"/>
      <c r="BR7" s="17" t="s">
        <v>91</v>
      </c>
      <c r="BS7" s="17" t="s">
        <v>91</v>
      </c>
      <c r="BT7" s="17"/>
      <c r="BU7" s="17" t="s">
        <v>258</v>
      </c>
      <c r="BV7" s="17" t="s">
        <v>198</v>
      </c>
      <c r="BW7" s="20"/>
      <c r="BX7" s="17"/>
      <c r="BY7" s="17" t="s">
        <v>92</v>
      </c>
      <c r="BZ7" s="17"/>
      <c r="CA7" s="17" t="s">
        <v>156</v>
      </c>
      <c r="CB7" s="17" t="s">
        <v>259</v>
      </c>
      <c r="CC7" s="17" t="s">
        <v>260</v>
      </c>
      <c r="CD7" s="17" t="s">
        <v>261</v>
      </c>
      <c r="CE7" s="20"/>
      <c r="CF7" s="17" t="s">
        <v>91</v>
      </c>
    </row>
    <row r="8" spans="1:84" ht="15" x14ac:dyDescent="0.2">
      <c r="A8" s="17" t="s">
        <v>225</v>
      </c>
      <c r="B8" s="18">
        <v>49103265</v>
      </c>
      <c r="C8" s="19">
        <v>45441.881944444445</v>
      </c>
      <c r="D8" s="17" t="s">
        <v>262</v>
      </c>
      <c r="E8" s="17" t="s">
        <v>168</v>
      </c>
      <c r="F8" s="17" t="s">
        <v>233</v>
      </c>
      <c r="G8" s="21">
        <v>725</v>
      </c>
      <c r="H8" s="21">
        <v>1254.42</v>
      </c>
      <c r="I8" s="21">
        <v>56.42</v>
      </c>
      <c r="J8" s="17" t="s">
        <v>97</v>
      </c>
      <c r="K8" s="22">
        <v>31898</v>
      </c>
      <c r="L8" s="18">
        <v>37</v>
      </c>
      <c r="M8" s="17" t="s">
        <v>189</v>
      </c>
      <c r="N8" s="17" t="s">
        <v>184</v>
      </c>
      <c r="O8" s="18">
        <v>6119</v>
      </c>
      <c r="P8" s="17" t="s">
        <v>86</v>
      </c>
      <c r="Q8" s="17" t="s">
        <v>87</v>
      </c>
      <c r="R8" s="17" t="s">
        <v>105</v>
      </c>
      <c r="S8" s="17" t="s">
        <v>121</v>
      </c>
      <c r="T8" s="17"/>
      <c r="U8" s="17" t="s">
        <v>159</v>
      </c>
      <c r="V8" s="20"/>
      <c r="W8" s="17"/>
      <c r="X8" s="17" t="s">
        <v>263</v>
      </c>
      <c r="Y8" s="17" t="s">
        <v>106</v>
      </c>
      <c r="Z8" s="20"/>
      <c r="AA8" s="17" t="s">
        <v>91</v>
      </c>
      <c r="AB8" s="17"/>
      <c r="AC8" s="17"/>
      <c r="AD8" s="17"/>
      <c r="AE8" s="17"/>
      <c r="AF8" s="17"/>
      <c r="AG8" s="17"/>
      <c r="AH8" s="17" t="s">
        <v>91</v>
      </c>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t="s">
        <v>91</v>
      </c>
      <c r="BU8" s="17"/>
      <c r="BV8" s="17"/>
      <c r="BW8" s="17"/>
      <c r="BX8" s="17"/>
      <c r="BY8" s="17" t="s">
        <v>92</v>
      </c>
      <c r="BZ8" s="17"/>
      <c r="CA8" s="17" t="s">
        <v>148</v>
      </c>
      <c r="CB8" s="20"/>
      <c r="CC8" s="17"/>
      <c r="CD8" s="17"/>
      <c r="CE8" s="17"/>
      <c r="CF8" s="17" t="s">
        <v>91</v>
      </c>
    </row>
    <row r="9" spans="1:84" ht="15" x14ac:dyDescent="0.2">
      <c r="A9" s="17" t="s">
        <v>225</v>
      </c>
      <c r="B9" s="18">
        <v>48220719</v>
      </c>
      <c r="C9" s="19">
        <v>45412.868750000001</v>
      </c>
      <c r="D9" s="17" t="s">
        <v>107</v>
      </c>
      <c r="E9" s="17" t="s">
        <v>145</v>
      </c>
      <c r="F9" s="23"/>
      <c r="G9" s="21">
        <v>599</v>
      </c>
      <c r="H9" s="21">
        <v>627.21</v>
      </c>
      <c r="I9" s="21">
        <v>28.21</v>
      </c>
      <c r="J9" s="17" t="s">
        <v>97</v>
      </c>
      <c r="K9" s="22">
        <v>32062</v>
      </c>
      <c r="L9" s="18">
        <v>36</v>
      </c>
      <c r="M9" s="17" t="s">
        <v>174</v>
      </c>
      <c r="N9" s="17" t="s">
        <v>162</v>
      </c>
      <c r="O9" s="18">
        <v>11103</v>
      </c>
      <c r="P9" s="17" t="s">
        <v>86</v>
      </c>
      <c r="Q9" s="17" t="s">
        <v>87</v>
      </c>
      <c r="R9" s="17" t="s">
        <v>105</v>
      </c>
      <c r="S9" s="17" t="s">
        <v>94</v>
      </c>
      <c r="T9" s="17"/>
      <c r="U9" s="17" t="s">
        <v>151</v>
      </c>
      <c r="V9" s="17"/>
      <c r="W9" s="17"/>
      <c r="X9" s="17" t="s">
        <v>264</v>
      </c>
      <c r="Y9" s="17" t="s">
        <v>100</v>
      </c>
      <c r="Z9" s="17"/>
      <c r="AA9" s="17"/>
      <c r="AB9" s="17"/>
      <c r="AC9" s="17"/>
      <c r="AD9" s="17" t="s">
        <v>91</v>
      </c>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t="s">
        <v>91</v>
      </c>
      <c r="BM9" s="17"/>
      <c r="BN9" s="17"/>
      <c r="BO9" s="17"/>
      <c r="BP9" s="17" t="s">
        <v>91</v>
      </c>
      <c r="BQ9" s="17"/>
      <c r="BR9" s="17"/>
      <c r="BS9" s="17" t="s">
        <v>91</v>
      </c>
      <c r="BT9" s="17"/>
      <c r="BU9" s="17" t="s">
        <v>265</v>
      </c>
      <c r="BV9" s="17" t="s">
        <v>266</v>
      </c>
      <c r="BW9" s="17" t="s">
        <v>267</v>
      </c>
      <c r="BX9" s="20"/>
      <c r="BY9" s="17" t="s">
        <v>92</v>
      </c>
      <c r="BZ9" s="17"/>
      <c r="CA9" s="17" t="s">
        <v>156</v>
      </c>
      <c r="CB9" s="17" t="s">
        <v>268</v>
      </c>
      <c r="CC9" s="17" t="s">
        <v>269</v>
      </c>
      <c r="CD9" s="17" t="s">
        <v>270</v>
      </c>
      <c r="CE9" s="20"/>
      <c r="CF9" s="17" t="s">
        <v>91</v>
      </c>
    </row>
    <row r="10" spans="1:84" ht="15" x14ac:dyDescent="0.2">
      <c r="A10" s="17" t="s">
        <v>225</v>
      </c>
      <c r="B10" s="18">
        <v>47771312</v>
      </c>
      <c r="C10" s="19">
        <v>45400.395138888889</v>
      </c>
      <c r="D10" s="17" t="s">
        <v>271</v>
      </c>
      <c r="E10" s="17" t="s">
        <v>145</v>
      </c>
      <c r="F10" s="23"/>
      <c r="G10" s="21">
        <v>599</v>
      </c>
      <c r="H10" s="21">
        <v>625.42999999999995</v>
      </c>
      <c r="I10" s="21">
        <v>26.43</v>
      </c>
      <c r="J10" s="17" t="s">
        <v>84</v>
      </c>
      <c r="K10" s="24">
        <v>31655</v>
      </c>
      <c r="L10" s="18">
        <v>37</v>
      </c>
      <c r="M10" s="17" t="s">
        <v>169</v>
      </c>
      <c r="N10" s="17" t="s">
        <v>170</v>
      </c>
      <c r="O10" s="18">
        <v>20007</v>
      </c>
      <c r="P10" s="17" t="s">
        <v>86</v>
      </c>
      <c r="Q10" s="17" t="s">
        <v>87</v>
      </c>
      <c r="R10" s="17" t="s">
        <v>88</v>
      </c>
      <c r="S10" s="17" t="s">
        <v>124</v>
      </c>
      <c r="T10" s="20"/>
      <c r="U10" s="17" t="s">
        <v>147</v>
      </c>
      <c r="V10" s="20"/>
      <c r="W10" s="17"/>
      <c r="X10" s="17"/>
      <c r="Y10" s="17" t="s">
        <v>106</v>
      </c>
      <c r="Z10" s="20"/>
      <c r="AA10" s="17"/>
      <c r="AB10" s="17" t="s">
        <v>91</v>
      </c>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t="s">
        <v>91</v>
      </c>
      <c r="BH10" s="17"/>
      <c r="BI10" s="17"/>
      <c r="BJ10" s="17"/>
      <c r="BK10" s="17"/>
      <c r="BL10" s="17" t="s">
        <v>91</v>
      </c>
      <c r="BM10" s="17"/>
      <c r="BN10" s="17"/>
      <c r="BO10" s="17"/>
      <c r="BP10" s="17"/>
      <c r="BQ10" s="17"/>
      <c r="BR10" s="17"/>
      <c r="BS10" s="17" t="s">
        <v>91</v>
      </c>
      <c r="BT10" s="17"/>
      <c r="BU10" s="17" t="s">
        <v>272</v>
      </c>
      <c r="BV10" s="17" t="s">
        <v>273</v>
      </c>
      <c r="BW10" s="17"/>
      <c r="BX10" s="17"/>
      <c r="BY10" s="17" t="s">
        <v>92</v>
      </c>
      <c r="BZ10" s="17"/>
      <c r="CA10" s="17" t="s">
        <v>156</v>
      </c>
      <c r="CB10" s="17" t="s">
        <v>274</v>
      </c>
      <c r="CC10" s="17" t="s">
        <v>275</v>
      </c>
      <c r="CD10" s="17" t="s">
        <v>276</v>
      </c>
      <c r="CE10" s="17" t="s">
        <v>277</v>
      </c>
      <c r="CF10" s="17" t="s">
        <v>91</v>
      </c>
    </row>
    <row r="11" spans="1:84" ht="15" x14ac:dyDescent="0.2">
      <c r="A11" s="17" t="s">
        <v>225</v>
      </c>
      <c r="B11" s="18">
        <v>49029018</v>
      </c>
      <c r="C11" s="19">
        <v>45438.656944444447</v>
      </c>
      <c r="D11" s="17" t="s">
        <v>278</v>
      </c>
      <c r="E11" s="17" t="s">
        <v>168</v>
      </c>
      <c r="F11" s="23"/>
      <c r="G11" s="21">
        <v>725</v>
      </c>
      <c r="H11" s="21">
        <v>755.84</v>
      </c>
      <c r="I11" s="21">
        <v>30.84</v>
      </c>
      <c r="J11" s="17" t="s">
        <v>84</v>
      </c>
      <c r="K11" s="22">
        <v>34225</v>
      </c>
      <c r="L11" s="18">
        <v>30</v>
      </c>
      <c r="M11" s="17" t="s">
        <v>279</v>
      </c>
      <c r="N11" s="17" t="s">
        <v>280</v>
      </c>
      <c r="O11" s="18">
        <v>98103</v>
      </c>
      <c r="P11" s="17" t="s">
        <v>86</v>
      </c>
      <c r="Q11" s="17" t="s">
        <v>87</v>
      </c>
      <c r="R11" s="17" t="s">
        <v>105</v>
      </c>
      <c r="S11" s="17" t="s">
        <v>94</v>
      </c>
      <c r="T11" s="17"/>
      <c r="U11" s="17" t="s">
        <v>147</v>
      </c>
      <c r="V11" s="20"/>
      <c r="W11" s="17"/>
      <c r="X11" s="17"/>
      <c r="Y11" s="17" t="s">
        <v>103</v>
      </c>
      <c r="Z11" s="20"/>
      <c r="AA11" s="17"/>
      <c r="AB11" s="17" t="s">
        <v>91</v>
      </c>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t="s">
        <v>91</v>
      </c>
      <c r="BF11" s="17"/>
      <c r="BG11" s="17"/>
      <c r="BH11" s="17"/>
      <c r="BI11" s="17"/>
      <c r="BJ11" s="17"/>
      <c r="BK11" s="17"/>
      <c r="BL11" s="17"/>
      <c r="BM11" s="17"/>
      <c r="BN11" s="17"/>
      <c r="BO11" s="17"/>
      <c r="BP11" s="17"/>
      <c r="BQ11" s="17"/>
      <c r="BR11" s="17"/>
      <c r="BS11" s="17" t="s">
        <v>91</v>
      </c>
      <c r="BT11" s="17"/>
      <c r="BU11" s="17" t="s">
        <v>281</v>
      </c>
      <c r="BV11" s="17"/>
      <c r="BW11" s="17"/>
      <c r="BX11" s="17"/>
      <c r="BY11" s="17" t="s">
        <v>92</v>
      </c>
      <c r="BZ11" s="17"/>
      <c r="CA11" s="17" t="s">
        <v>148</v>
      </c>
      <c r="CB11" s="17" t="s">
        <v>282</v>
      </c>
      <c r="CC11" s="17" t="s">
        <v>283</v>
      </c>
      <c r="CD11" s="17" t="s">
        <v>183</v>
      </c>
      <c r="CE11" s="20"/>
      <c r="CF11" s="17" t="s">
        <v>91</v>
      </c>
    </row>
    <row r="12" spans="1:84" ht="15" x14ac:dyDescent="0.2">
      <c r="A12" s="17" t="s">
        <v>225</v>
      </c>
      <c r="B12" s="18">
        <v>46952823</v>
      </c>
      <c r="C12" s="19">
        <v>45378.353472222225</v>
      </c>
      <c r="D12" s="17" t="s">
        <v>153</v>
      </c>
      <c r="E12" s="17" t="s">
        <v>145</v>
      </c>
      <c r="F12" s="17" t="s">
        <v>113</v>
      </c>
      <c r="G12" s="21">
        <v>599</v>
      </c>
      <c r="H12" s="21">
        <v>0</v>
      </c>
      <c r="I12" s="21">
        <v>0</v>
      </c>
      <c r="J12" s="17" t="s">
        <v>97</v>
      </c>
      <c r="K12" s="22">
        <v>34072</v>
      </c>
      <c r="L12" s="18">
        <v>30</v>
      </c>
      <c r="M12" s="17" t="s">
        <v>284</v>
      </c>
      <c r="N12" s="17" t="s">
        <v>125</v>
      </c>
      <c r="O12" s="18">
        <v>7039</v>
      </c>
      <c r="P12" s="17" t="s">
        <v>86</v>
      </c>
      <c r="Q12" s="17" t="s">
        <v>87</v>
      </c>
      <c r="R12" s="17" t="s">
        <v>105</v>
      </c>
      <c r="S12" s="17" t="s">
        <v>94</v>
      </c>
      <c r="T12" s="17"/>
      <c r="U12" s="17" t="s">
        <v>147</v>
      </c>
      <c r="V12" s="20"/>
      <c r="W12" s="17"/>
      <c r="X12" s="17"/>
      <c r="Y12" s="17" t="s">
        <v>106</v>
      </c>
      <c r="Z12" s="20"/>
      <c r="AA12" s="17" t="s">
        <v>91</v>
      </c>
      <c r="AB12" s="17" t="s">
        <v>91</v>
      </c>
      <c r="AC12" s="17"/>
      <c r="AD12" s="17"/>
      <c r="AE12" s="17"/>
      <c r="AF12" s="17"/>
      <c r="AG12" s="17"/>
      <c r="AH12" s="17"/>
      <c r="AI12" s="17"/>
      <c r="AJ12" s="17"/>
      <c r="AK12" s="17"/>
      <c r="AL12" s="17"/>
      <c r="AM12" s="17"/>
      <c r="AN12" s="17"/>
      <c r="AO12" s="17"/>
      <c r="AP12" s="17"/>
      <c r="AQ12" s="17"/>
      <c r="AR12" s="17"/>
      <c r="AS12" s="17"/>
      <c r="AT12" s="17"/>
      <c r="AU12" s="17" t="s">
        <v>91</v>
      </c>
      <c r="AV12" s="17" t="s">
        <v>91</v>
      </c>
      <c r="AW12" s="17"/>
      <c r="AX12" s="17"/>
      <c r="AY12" s="17"/>
      <c r="AZ12" s="17"/>
      <c r="BA12" s="17"/>
      <c r="BB12" s="17"/>
      <c r="BC12" s="17"/>
      <c r="BD12" s="17"/>
      <c r="BE12" s="17"/>
      <c r="BF12" s="17"/>
      <c r="BG12" s="17"/>
      <c r="BH12" s="17"/>
      <c r="BI12" s="17"/>
      <c r="BJ12" s="17"/>
      <c r="BK12" s="17"/>
      <c r="BL12" s="17"/>
      <c r="BM12" s="17"/>
      <c r="BN12" s="17"/>
      <c r="BO12" s="17"/>
      <c r="BP12" s="17"/>
      <c r="BQ12" s="17"/>
      <c r="BR12" s="17" t="s">
        <v>91</v>
      </c>
      <c r="BS12" s="17" t="s">
        <v>91</v>
      </c>
      <c r="BT12" s="17"/>
      <c r="BU12" s="17" t="s">
        <v>285</v>
      </c>
      <c r="BV12" s="17"/>
      <c r="BW12" s="17"/>
      <c r="BX12" s="17"/>
      <c r="BY12" s="17" t="s">
        <v>92</v>
      </c>
      <c r="BZ12" s="17"/>
      <c r="CA12" s="17" t="s">
        <v>148</v>
      </c>
      <c r="CB12" s="17" t="s">
        <v>286</v>
      </c>
      <c r="CC12" s="17" t="s">
        <v>287</v>
      </c>
      <c r="CD12" s="17" t="s">
        <v>288</v>
      </c>
      <c r="CE12" s="20"/>
      <c r="CF12" s="17" t="s">
        <v>91</v>
      </c>
    </row>
    <row r="13" spans="1:84" ht="15" x14ac:dyDescent="0.2">
      <c r="A13" s="17" t="s">
        <v>225</v>
      </c>
      <c r="B13" s="18">
        <v>49103265</v>
      </c>
      <c r="C13" s="19">
        <v>45441.881944444445</v>
      </c>
      <c r="D13" s="17" t="s">
        <v>153</v>
      </c>
      <c r="E13" s="17" t="s">
        <v>168</v>
      </c>
      <c r="F13" s="17" t="s">
        <v>233</v>
      </c>
      <c r="G13" s="21">
        <v>725</v>
      </c>
      <c r="H13" s="21">
        <v>1254.42</v>
      </c>
      <c r="I13" s="21">
        <v>56.42</v>
      </c>
      <c r="J13" s="17" t="s">
        <v>84</v>
      </c>
      <c r="K13" s="22">
        <v>32395</v>
      </c>
      <c r="L13" s="18">
        <v>35</v>
      </c>
      <c r="M13" s="17" t="s">
        <v>171</v>
      </c>
      <c r="N13" s="17" t="s">
        <v>162</v>
      </c>
      <c r="O13" s="18">
        <v>10038</v>
      </c>
      <c r="P13" s="17" t="s">
        <v>86</v>
      </c>
      <c r="Q13" s="17" t="s">
        <v>87</v>
      </c>
      <c r="R13" s="17" t="s">
        <v>98</v>
      </c>
      <c r="S13" s="17" t="s">
        <v>94</v>
      </c>
      <c r="T13" s="17"/>
      <c r="U13" s="17" t="s">
        <v>159</v>
      </c>
      <c r="V13" s="20"/>
      <c r="W13" s="17"/>
      <c r="X13" s="17" t="s">
        <v>289</v>
      </c>
      <c r="Y13" s="17" t="s">
        <v>103</v>
      </c>
      <c r="Z13" s="20"/>
      <c r="AA13" s="17"/>
      <c r="AB13" s="17"/>
      <c r="AC13" s="17"/>
      <c r="AD13" s="17" t="s">
        <v>91</v>
      </c>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t="s">
        <v>91</v>
      </c>
      <c r="BM13" s="17"/>
      <c r="BN13" s="17"/>
      <c r="BO13" s="17"/>
      <c r="BP13" s="17"/>
      <c r="BQ13" s="17"/>
      <c r="BR13" s="17"/>
      <c r="BS13" s="17" t="s">
        <v>91</v>
      </c>
      <c r="BT13" s="17"/>
      <c r="BU13" s="17" t="s">
        <v>290</v>
      </c>
      <c r="BV13" s="17" t="s">
        <v>291</v>
      </c>
      <c r="BW13" s="20"/>
      <c r="BX13" s="17"/>
      <c r="BY13" s="17" t="s">
        <v>92</v>
      </c>
      <c r="BZ13" s="17"/>
      <c r="CA13" s="17" t="s">
        <v>148</v>
      </c>
      <c r="CB13" s="20"/>
      <c r="CC13" s="17"/>
      <c r="CD13" s="17"/>
      <c r="CE13" s="17"/>
      <c r="CF13" s="17" t="s">
        <v>91</v>
      </c>
    </row>
    <row r="14" spans="1:84" ht="15" x14ac:dyDescent="0.2">
      <c r="A14" s="17" t="s">
        <v>225</v>
      </c>
      <c r="B14" s="18">
        <v>49806205</v>
      </c>
      <c r="C14" s="19">
        <v>45466.866666666669</v>
      </c>
      <c r="D14" s="17" t="s">
        <v>292</v>
      </c>
      <c r="E14" s="17" t="s">
        <v>168</v>
      </c>
      <c r="F14" s="17" t="s">
        <v>186</v>
      </c>
      <c r="G14" s="21">
        <v>725</v>
      </c>
      <c r="H14" s="21">
        <v>446.6</v>
      </c>
      <c r="I14" s="21">
        <v>21.6</v>
      </c>
      <c r="J14" s="17" t="s">
        <v>97</v>
      </c>
      <c r="K14" s="22">
        <v>31429</v>
      </c>
      <c r="L14" s="18">
        <v>38</v>
      </c>
      <c r="M14" s="17" t="s">
        <v>171</v>
      </c>
      <c r="N14" s="17" t="s">
        <v>162</v>
      </c>
      <c r="O14" s="18">
        <v>10023</v>
      </c>
      <c r="P14" s="17" t="s">
        <v>86</v>
      </c>
      <c r="Q14" s="17" t="s">
        <v>87</v>
      </c>
      <c r="R14" s="17" t="s">
        <v>105</v>
      </c>
      <c r="S14" s="17" t="s">
        <v>94</v>
      </c>
      <c r="T14" s="17"/>
      <c r="U14" s="17" t="s">
        <v>151</v>
      </c>
      <c r="V14" s="20"/>
      <c r="W14" s="17"/>
      <c r="X14" s="17" t="s">
        <v>293</v>
      </c>
      <c r="Y14" s="17" t="s">
        <v>106</v>
      </c>
      <c r="Z14" s="20"/>
      <c r="AA14" s="17"/>
      <c r="AB14" s="17"/>
      <c r="AC14" s="17"/>
      <c r="AD14" s="17" t="s">
        <v>91</v>
      </c>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t="s">
        <v>91</v>
      </c>
      <c r="BQ14" s="17"/>
      <c r="BR14" s="17" t="s">
        <v>91</v>
      </c>
      <c r="BS14" s="17" t="s">
        <v>91</v>
      </c>
      <c r="BT14" s="17"/>
      <c r="BU14" s="17" t="s">
        <v>294</v>
      </c>
      <c r="BV14" s="20"/>
      <c r="BW14" s="17" t="s">
        <v>295</v>
      </c>
      <c r="BX14" s="17"/>
      <c r="BY14" s="17" t="s">
        <v>92</v>
      </c>
      <c r="BZ14" s="17"/>
      <c r="CA14" s="17" t="s">
        <v>92</v>
      </c>
      <c r="CB14" s="17" t="s">
        <v>296</v>
      </c>
      <c r="CC14" s="17" t="s">
        <v>297</v>
      </c>
      <c r="CD14" s="20"/>
      <c r="CE14" s="17"/>
      <c r="CF14" s="17" t="s">
        <v>91</v>
      </c>
    </row>
    <row r="15" spans="1:84" ht="15" x14ac:dyDescent="0.2">
      <c r="A15" s="17" t="s">
        <v>225</v>
      </c>
      <c r="B15" s="18">
        <v>49103995</v>
      </c>
      <c r="C15" s="19">
        <v>45441.90347222222</v>
      </c>
      <c r="D15" s="17" t="s">
        <v>298</v>
      </c>
      <c r="E15" s="17" t="s">
        <v>168</v>
      </c>
      <c r="F15" s="17" t="s">
        <v>233</v>
      </c>
      <c r="G15" s="21">
        <v>725</v>
      </c>
      <c r="H15" s="21">
        <v>625.42999999999995</v>
      </c>
      <c r="I15" s="21">
        <v>26.43</v>
      </c>
      <c r="J15" s="17" t="s">
        <v>84</v>
      </c>
      <c r="K15" s="22">
        <v>31886</v>
      </c>
      <c r="L15" s="18">
        <v>36</v>
      </c>
      <c r="M15" s="17" t="s">
        <v>171</v>
      </c>
      <c r="N15" s="17" t="s">
        <v>162</v>
      </c>
      <c r="O15" s="18">
        <v>10010</v>
      </c>
      <c r="P15" s="17" t="s">
        <v>86</v>
      </c>
      <c r="Q15" s="17" t="s">
        <v>87</v>
      </c>
      <c r="R15" s="17" t="s">
        <v>108</v>
      </c>
      <c r="S15" s="17" t="s">
        <v>94</v>
      </c>
      <c r="T15" s="17"/>
      <c r="U15" s="17" t="s">
        <v>159</v>
      </c>
      <c r="V15" s="20"/>
      <c r="W15" s="17"/>
      <c r="X15" s="17" t="s">
        <v>299</v>
      </c>
      <c r="Y15" s="17" t="s">
        <v>103</v>
      </c>
      <c r="Z15" s="20"/>
      <c r="AA15" s="17"/>
      <c r="AB15" s="17"/>
      <c r="AC15" s="17"/>
      <c r="AD15" s="17" t="s">
        <v>91</v>
      </c>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t="s">
        <v>91</v>
      </c>
      <c r="BM15" s="17"/>
      <c r="BN15" s="17"/>
      <c r="BO15" s="17"/>
      <c r="BP15" s="17"/>
      <c r="BQ15" s="17"/>
      <c r="BR15" s="17" t="s">
        <v>91</v>
      </c>
      <c r="BS15" s="17" t="s">
        <v>91</v>
      </c>
      <c r="BT15" s="17"/>
      <c r="BU15" s="17" t="s">
        <v>300</v>
      </c>
      <c r="BV15" s="17" t="s">
        <v>299</v>
      </c>
      <c r="BW15" s="20"/>
      <c r="BX15" s="20"/>
      <c r="BY15" s="17" t="s">
        <v>91</v>
      </c>
      <c r="BZ15" s="17" t="s">
        <v>301</v>
      </c>
      <c r="CA15" s="17" t="s">
        <v>92</v>
      </c>
      <c r="CB15" s="17" t="s">
        <v>210</v>
      </c>
      <c r="CC15" s="17" t="s">
        <v>302</v>
      </c>
      <c r="CD15" s="17" t="s">
        <v>137</v>
      </c>
      <c r="CE15" s="17" t="s">
        <v>303</v>
      </c>
      <c r="CF15" s="17" t="s">
        <v>91</v>
      </c>
    </row>
    <row r="16" spans="1:84" ht="15" x14ac:dyDescent="0.2">
      <c r="A16" s="17" t="s">
        <v>225</v>
      </c>
      <c r="B16" s="18">
        <v>46960047</v>
      </c>
      <c r="C16" s="19">
        <v>45378.539583333331</v>
      </c>
      <c r="D16" s="17" t="s">
        <v>304</v>
      </c>
      <c r="E16" s="17" t="s">
        <v>145</v>
      </c>
      <c r="F16" s="23"/>
      <c r="G16" s="21">
        <v>599</v>
      </c>
      <c r="H16" s="21">
        <v>625.13</v>
      </c>
      <c r="I16" s="21">
        <v>26.14</v>
      </c>
      <c r="J16" s="17" t="s">
        <v>97</v>
      </c>
      <c r="K16" s="22">
        <v>33483</v>
      </c>
      <c r="L16" s="18">
        <v>32</v>
      </c>
      <c r="M16" s="17" t="s">
        <v>305</v>
      </c>
      <c r="N16" s="17" t="s">
        <v>162</v>
      </c>
      <c r="O16" s="18">
        <v>11101</v>
      </c>
      <c r="P16" s="17" t="s">
        <v>86</v>
      </c>
      <c r="Q16" s="17" t="s">
        <v>87</v>
      </c>
      <c r="R16" s="17" t="s">
        <v>108</v>
      </c>
      <c r="S16" s="17" t="s">
        <v>94</v>
      </c>
      <c r="T16" s="17"/>
      <c r="U16" s="17" t="s">
        <v>151</v>
      </c>
      <c r="V16" s="20"/>
      <c r="W16" s="17"/>
      <c r="X16" s="17"/>
      <c r="Y16" s="17" t="s">
        <v>100</v>
      </c>
      <c r="Z16" s="17"/>
      <c r="AA16" s="17"/>
      <c r="AB16" s="17"/>
      <c r="AC16" s="17"/>
      <c r="AD16" s="17" t="s">
        <v>91</v>
      </c>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t="s">
        <v>91</v>
      </c>
      <c r="BP16" s="17"/>
      <c r="BQ16" s="17"/>
      <c r="BR16" s="17"/>
      <c r="BS16" s="17" t="s">
        <v>91</v>
      </c>
      <c r="BT16" s="17"/>
      <c r="BU16" s="17" t="s">
        <v>306</v>
      </c>
      <c r="BV16" s="17"/>
      <c r="BW16" s="17"/>
      <c r="BX16" s="17"/>
      <c r="BY16" s="17" t="s">
        <v>92</v>
      </c>
      <c r="BZ16" s="17"/>
      <c r="CA16" s="17" t="s">
        <v>156</v>
      </c>
      <c r="CB16" s="17" t="s">
        <v>123</v>
      </c>
      <c r="CC16" s="17"/>
      <c r="CD16" s="17"/>
      <c r="CE16" s="17"/>
      <c r="CF16" s="17" t="s">
        <v>91</v>
      </c>
    </row>
    <row r="17" spans="1:84" ht="15" x14ac:dyDescent="0.2">
      <c r="A17" s="17" t="s">
        <v>225</v>
      </c>
      <c r="B17" s="18">
        <v>46911616</v>
      </c>
      <c r="C17" s="19">
        <v>45376.640277777777</v>
      </c>
      <c r="D17" s="17" t="s">
        <v>307</v>
      </c>
      <c r="E17" s="17" t="s">
        <v>157</v>
      </c>
      <c r="F17" s="17"/>
      <c r="G17" s="21">
        <v>895</v>
      </c>
      <c r="H17" s="21">
        <v>931.49</v>
      </c>
      <c r="I17" s="21">
        <v>36.5</v>
      </c>
      <c r="J17" s="17" t="s">
        <v>84</v>
      </c>
      <c r="K17" s="22">
        <v>34149</v>
      </c>
      <c r="L17" s="18">
        <v>30</v>
      </c>
      <c r="M17" s="17" t="s">
        <v>308</v>
      </c>
      <c r="N17" s="17" t="s">
        <v>125</v>
      </c>
      <c r="O17" s="18">
        <v>7458</v>
      </c>
      <c r="P17" s="17" t="s">
        <v>86</v>
      </c>
      <c r="Q17" s="17" t="s">
        <v>87</v>
      </c>
      <c r="R17" s="17" t="s">
        <v>98</v>
      </c>
      <c r="S17" s="17" t="s">
        <v>94</v>
      </c>
      <c r="T17" s="17"/>
      <c r="U17" s="17"/>
      <c r="V17" s="17"/>
      <c r="W17" s="17"/>
      <c r="X17" s="17"/>
      <c r="Y17" s="17" t="s">
        <v>106</v>
      </c>
      <c r="Z17" s="20"/>
      <c r="AA17" s="17" t="s">
        <v>91</v>
      </c>
      <c r="AB17" s="17"/>
      <c r="AC17" s="17"/>
      <c r="AD17" s="17"/>
      <c r="AE17" s="17"/>
      <c r="AF17" s="17"/>
      <c r="AG17" s="17"/>
      <c r="AH17" s="17"/>
      <c r="AI17" s="17" t="s">
        <v>91</v>
      </c>
      <c r="AJ17" s="17"/>
      <c r="AK17" s="17" t="s">
        <v>91</v>
      </c>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t="s">
        <v>91</v>
      </c>
      <c r="BU17" s="17"/>
      <c r="BV17" s="17"/>
      <c r="BW17" s="17"/>
      <c r="BX17" s="17"/>
      <c r="BY17" s="17" t="s">
        <v>92</v>
      </c>
      <c r="BZ17" s="17"/>
      <c r="CA17" s="17" t="s">
        <v>156</v>
      </c>
      <c r="CB17" s="17" t="s">
        <v>140</v>
      </c>
      <c r="CC17" s="17" t="s">
        <v>309</v>
      </c>
      <c r="CD17" s="17" t="s">
        <v>96</v>
      </c>
      <c r="CE17" s="17" t="s">
        <v>310</v>
      </c>
      <c r="CF17" s="17" t="s">
        <v>91</v>
      </c>
    </row>
    <row r="18" spans="1:84" ht="15" x14ac:dyDescent="0.2">
      <c r="A18" s="17" t="s">
        <v>225</v>
      </c>
      <c r="B18" s="18">
        <v>46964752</v>
      </c>
      <c r="C18" s="19">
        <v>45378.643750000003</v>
      </c>
      <c r="D18" s="17" t="s">
        <v>311</v>
      </c>
      <c r="E18" s="17" t="s">
        <v>154</v>
      </c>
      <c r="F18" s="17"/>
      <c r="G18" s="21">
        <v>825</v>
      </c>
      <c r="H18" s="21">
        <v>861.49</v>
      </c>
      <c r="I18" s="21">
        <v>36.5</v>
      </c>
      <c r="J18" s="17" t="s">
        <v>97</v>
      </c>
      <c r="K18" s="22">
        <v>34290</v>
      </c>
      <c r="L18" s="18">
        <v>30</v>
      </c>
      <c r="M18" s="17" t="s">
        <v>171</v>
      </c>
      <c r="N18" s="17" t="s">
        <v>162</v>
      </c>
      <c r="O18" s="18">
        <v>10024</v>
      </c>
      <c r="P18" s="17" t="s">
        <v>86</v>
      </c>
      <c r="Q18" s="17" t="s">
        <v>87</v>
      </c>
      <c r="R18" s="17" t="s">
        <v>105</v>
      </c>
      <c r="S18" s="17" t="s">
        <v>312</v>
      </c>
      <c r="T18" s="20"/>
      <c r="U18" s="17"/>
      <c r="V18" s="17" t="s">
        <v>160</v>
      </c>
      <c r="W18" s="20"/>
      <c r="X18" s="20"/>
      <c r="Y18" s="17" t="s">
        <v>103</v>
      </c>
      <c r="Z18" s="20"/>
      <c r="AA18" s="17"/>
      <c r="AB18" s="17"/>
      <c r="AC18" s="17"/>
      <c r="AD18" s="17" t="s">
        <v>91</v>
      </c>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t="s">
        <v>91</v>
      </c>
      <c r="BL18" s="17"/>
      <c r="BM18" s="17"/>
      <c r="BN18" s="17"/>
      <c r="BO18" s="17"/>
      <c r="BP18" s="17"/>
      <c r="BQ18" s="17"/>
      <c r="BR18" s="17"/>
      <c r="BS18" s="17"/>
      <c r="BT18" s="17" t="s">
        <v>91</v>
      </c>
      <c r="BU18" s="17"/>
      <c r="BV18" s="17"/>
      <c r="BW18" s="17"/>
      <c r="BX18" s="17"/>
      <c r="BY18" s="17" t="s">
        <v>92</v>
      </c>
      <c r="BZ18" s="17"/>
      <c r="CA18" s="17" t="s">
        <v>148</v>
      </c>
      <c r="CB18" s="17" t="s">
        <v>313</v>
      </c>
      <c r="CC18" s="17" t="s">
        <v>314</v>
      </c>
      <c r="CD18" s="17" t="s">
        <v>315</v>
      </c>
      <c r="CE18" s="20"/>
      <c r="CF18" s="17" t="s">
        <v>91</v>
      </c>
    </row>
    <row r="19" spans="1:84" ht="15" x14ac:dyDescent="0.2">
      <c r="A19" s="17" t="s">
        <v>225</v>
      </c>
      <c r="B19" s="18">
        <v>46954778</v>
      </c>
      <c r="C19" s="19">
        <v>45378.423611111109</v>
      </c>
      <c r="D19" s="17" t="s">
        <v>196</v>
      </c>
      <c r="E19" s="17" t="s">
        <v>145</v>
      </c>
      <c r="F19" s="17" t="s">
        <v>113</v>
      </c>
      <c r="G19" s="21">
        <v>599</v>
      </c>
      <c r="H19" s="21">
        <v>0</v>
      </c>
      <c r="I19" s="21">
        <v>0</v>
      </c>
      <c r="J19" s="17" t="s">
        <v>97</v>
      </c>
      <c r="K19" s="22">
        <v>31814</v>
      </c>
      <c r="L19" s="18">
        <v>37</v>
      </c>
      <c r="M19" s="17" t="s">
        <v>316</v>
      </c>
      <c r="N19" s="17" t="s">
        <v>184</v>
      </c>
      <c r="O19" s="18">
        <v>6830</v>
      </c>
      <c r="P19" s="17" t="s">
        <v>86</v>
      </c>
      <c r="Q19" s="17" t="s">
        <v>87</v>
      </c>
      <c r="R19" s="17" t="s">
        <v>105</v>
      </c>
      <c r="S19" s="17" t="s">
        <v>197</v>
      </c>
      <c r="T19" s="20"/>
      <c r="U19" s="17" t="s">
        <v>151</v>
      </c>
      <c r="V19" s="20"/>
      <c r="W19" s="17"/>
      <c r="X19" s="17" t="s">
        <v>317</v>
      </c>
      <c r="Y19" s="17" t="s">
        <v>103</v>
      </c>
      <c r="Z19" s="20"/>
      <c r="AA19" s="17" t="s">
        <v>91</v>
      </c>
      <c r="AB19" s="17" t="s">
        <v>91</v>
      </c>
      <c r="AC19" s="17" t="s">
        <v>91</v>
      </c>
      <c r="AD19" s="17"/>
      <c r="AE19" s="17"/>
      <c r="AF19" s="17"/>
      <c r="AG19" s="17"/>
      <c r="AH19" s="17"/>
      <c r="AI19" s="17" t="s">
        <v>91</v>
      </c>
      <c r="AJ19" s="17" t="s">
        <v>91</v>
      </c>
      <c r="AK19" s="17"/>
      <c r="AL19" s="17" t="s">
        <v>91</v>
      </c>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t="s">
        <v>91</v>
      </c>
      <c r="BU19" s="17"/>
      <c r="BV19" s="17"/>
      <c r="BW19" s="17"/>
      <c r="BX19" s="17"/>
      <c r="BY19" s="17" t="s">
        <v>92</v>
      </c>
      <c r="BZ19" s="17"/>
      <c r="CA19" s="17" t="s">
        <v>148</v>
      </c>
      <c r="CB19" s="17" t="s">
        <v>142</v>
      </c>
      <c r="CC19" s="17" t="s">
        <v>318</v>
      </c>
      <c r="CD19" s="17" t="s">
        <v>319</v>
      </c>
      <c r="CE19" s="20"/>
      <c r="CF19" s="17" t="s">
        <v>91</v>
      </c>
    </row>
    <row r="20" spans="1:84" ht="15" x14ac:dyDescent="0.2">
      <c r="A20" s="17" t="s">
        <v>225</v>
      </c>
      <c r="B20" s="18">
        <v>48197604</v>
      </c>
      <c r="C20" s="19">
        <v>45412.351388888892</v>
      </c>
      <c r="D20" s="17" t="s">
        <v>221</v>
      </c>
      <c r="E20" s="17" t="s">
        <v>145</v>
      </c>
      <c r="F20" s="23"/>
      <c r="G20" s="21">
        <v>599</v>
      </c>
      <c r="H20" s="21">
        <v>625.42999999999995</v>
      </c>
      <c r="I20" s="21">
        <v>26.43</v>
      </c>
      <c r="J20" s="17" t="s">
        <v>97</v>
      </c>
      <c r="K20" s="22">
        <v>35550</v>
      </c>
      <c r="L20" s="18">
        <v>27</v>
      </c>
      <c r="M20" s="17" t="s">
        <v>171</v>
      </c>
      <c r="N20" s="17" t="s">
        <v>162</v>
      </c>
      <c r="O20" s="18">
        <v>10128</v>
      </c>
      <c r="P20" s="17" t="s">
        <v>86</v>
      </c>
      <c r="Q20" s="17" t="s">
        <v>87</v>
      </c>
      <c r="R20" s="17" t="s">
        <v>98</v>
      </c>
      <c r="S20" s="17" t="s">
        <v>94</v>
      </c>
      <c r="T20" s="17"/>
      <c r="U20" s="17" t="s">
        <v>147</v>
      </c>
      <c r="V20" s="20"/>
      <c r="W20" s="17"/>
      <c r="X20" s="17"/>
      <c r="Y20" s="17" t="s">
        <v>100</v>
      </c>
      <c r="Z20" s="17"/>
      <c r="AA20" s="17"/>
      <c r="AB20" s="17"/>
      <c r="AC20" s="17"/>
      <c r="AD20" s="17" t="s">
        <v>91</v>
      </c>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t="s">
        <v>91</v>
      </c>
      <c r="BN20" s="17"/>
      <c r="BO20" s="17"/>
      <c r="BP20" s="17"/>
      <c r="BQ20" s="17"/>
      <c r="BR20" s="17"/>
      <c r="BS20" s="17" t="s">
        <v>91</v>
      </c>
      <c r="BT20" s="17"/>
      <c r="BU20" s="17" t="s">
        <v>222</v>
      </c>
      <c r="BV20" s="20"/>
      <c r="BW20" s="17"/>
      <c r="BX20" s="17"/>
      <c r="BY20" s="17" t="s">
        <v>92</v>
      </c>
      <c r="BZ20" s="17"/>
      <c r="CA20" s="17" t="s">
        <v>92</v>
      </c>
      <c r="CB20" s="17"/>
      <c r="CC20" s="17"/>
      <c r="CD20" s="17"/>
      <c r="CE20" s="17"/>
      <c r="CF20" s="17" t="s">
        <v>91</v>
      </c>
    </row>
    <row r="21" spans="1:84" ht="15" x14ac:dyDescent="0.2">
      <c r="A21" s="17" t="s">
        <v>225</v>
      </c>
      <c r="B21" s="18">
        <v>48195395</v>
      </c>
      <c r="C21" s="19">
        <v>45377.043749999997</v>
      </c>
      <c r="D21" s="17" t="s">
        <v>320</v>
      </c>
      <c r="E21" s="17" t="s">
        <v>145</v>
      </c>
      <c r="F21" s="23"/>
      <c r="G21" s="21">
        <v>599</v>
      </c>
      <c r="H21" s="21">
        <v>627.21</v>
      </c>
      <c r="I21" s="21">
        <v>28.21</v>
      </c>
      <c r="J21" s="17" t="s">
        <v>84</v>
      </c>
      <c r="K21" s="22">
        <v>35247</v>
      </c>
      <c r="L21" s="18">
        <v>27</v>
      </c>
      <c r="M21" s="17" t="s">
        <v>208</v>
      </c>
      <c r="N21" s="17" t="s">
        <v>167</v>
      </c>
      <c r="O21" s="18">
        <v>2139</v>
      </c>
      <c r="P21" s="17" t="s">
        <v>86</v>
      </c>
      <c r="Q21" s="17" t="s">
        <v>87</v>
      </c>
      <c r="R21" s="17" t="s">
        <v>105</v>
      </c>
      <c r="S21" s="17" t="s">
        <v>94</v>
      </c>
      <c r="T21" s="17"/>
      <c r="U21" s="17" t="s">
        <v>161</v>
      </c>
      <c r="V21" s="17"/>
      <c r="W21" s="17"/>
      <c r="X21" s="17"/>
      <c r="Y21" s="17" t="s">
        <v>103</v>
      </c>
      <c r="Z21" s="20"/>
      <c r="AA21" s="17"/>
      <c r="AB21" s="17"/>
      <c r="AC21" s="17"/>
      <c r="AD21" s="17" t="s">
        <v>91</v>
      </c>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t="s">
        <v>91</v>
      </c>
      <c r="BJ21" s="17" t="s">
        <v>91</v>
      </c>
      <c r="BK21" s="17"/>
      <c r="BL21" s="17"/>
      <c r="BM21" s="17"/>
      <c r="BN21" s="17"/>
      <c r="BO21" s="17"/>
      <c r="BP21" s="17"/>
      <c r="BQ21" s="17"/>
      <c r="BR21" s="17"/>
      <c r="BS21" s="17"/>
      <c r="BT21" s="17" t="s">
        <v>91</v>
      </c>
      <c r="BU21" s="17"/>
      <c r="BV21" s="17"/>
      <c r="BW21" s="17"/>
      <c r="BX21" s="17"/>
      <c r="BY21" s="17" t="s">
        <v>92</v>
      </c>
      <c r="BZ21" s="17"/>
      <c r="CA21" s="17" t="s">
        <v>156</v>
      </c>
      <c r="CB21" s="17" t="s">
        <v>321</v>
      </c>
      <c r="CC21" s="20"/>
      <c r="CD21" s="17"/>
      <c r="CE21" s="17"/>
      <c r="CF21" s="17" t="s">
        <v>91</v>
      </c>
    </row>
    <row r="22" spans="1:84" ht="15" x14ac:dyDescent="0.2">
      <c r="A22" s="17" t="s">
        <v>225</v>
      </c>
      <c r="B22" s="18">
        <v>46924384</v>
      </c>
      <c r="C22" s="19">
        <v>45412.434027777781</v>
      </c>
      <c r="D22" s="17" t="s">
        <v>322</v>
      </c>
      <c r="E22" s="17" t="s">
        <v>145</v>
      </c>
      <c r="F22" s="17" t="s">
        <v>113</v>
      </c>
      <c r="G22" s="21">
        <v>599</v>
      </c>
      <c r="H22" s="21">
        <v>0</v>
      </c>
      <c r="I22" s="21">
        <v>0</v>
      </c>
      <c r="J22" s="17" t="s">
        <v>84</v>
      </c>
      <c r="K22" s="22">
        <v>30961</v>
      </c>
      <c r="L22" s="18">
        <v>39</v>
      </c>
      <c r="M22" s="17" t="s">
        <v>171</v>
      </c>
      <c r="N22" s="17" t="s">
        <v>162</v>
      </c>
      <c r="O22" s="18">
        <v>10024</v>
      </c>
      <c r="P22" s="17" t="s">
        <v>86</v>
      </c>
      <c r="Q22" s="17" t="s">
        <v>87</v>
      </c>
      <c r="R22" s="17" t="s">
        <v>88</v>
      </c>
      <c r="S22" s="17" t="s">
        <v>94</v>
      </c>
      <c r="T22" s="17"/>
      <c r="U22" s="17" t="s">
        <v>161</v>
      </c>
      <c r="V22" s="17"/>
      <c r="W22" s="17"/>
      <c r="X22" s="17"/>
      <c r="Y22" s="17" t="s">
        <v>95</v>
      </c>
      <c r="Z22" s="17"/>
      <c r="AA22" s="17" t="s">
        <v>91</v>
      </c>
      <c r="AB22" s="17"/>
      <c r="AC22" s="17"/>
      <c r="AD22" s="17"/>
      <c r="AE22" s="17"/>
      <c r="AF22" s="17"/>
      <c r="AG22" s="17"/>
      <c r="AH22" s="17"/>
      <c r="AI22" s="17"/>
      <c r="AJ22" s="17"/>
      <c r="AK22" s="17" t="s">
        <v>91</v>
      </c>
      <c r="AL22" s="17"/>
      <c r="AM22" s="17"/>
      <c r="AN22" s="17"/>
      <c r="AO22" s="17"/>
      <c r="AP22" s="17" t="s">
        <v>91</v>
      </c>
      <c r="AQ22" s="17"/>
      <c r="AR22" s="17"/>
      <c r="AS22" s="17"/>
      <c r="AT22" s="17"/>
      <c r="AU22" s="17" t="s">
        <v>91</v>
      </c>
      <c r="AV22" s="17"/>
      <c r="AW22" s="17"/>
      <c r="AX22" s="17"/>
      <c r="AY22" s="17"/>
      <c r="AZ22" s="17"/>
      <c r="BA22" s="17" t="s">
        <v>91</v>
      </c>
      <c r="BB22" s="17"/>
      <c r="BC22" s="17"/>
      <c r="BD22" s="17"/>
      <c r="BE22" s="17"/>
      <c r="BF22" s="17"/>
      <c r="BG22" s="17"/>
      <c r="BH22" s="17"/>
      <c r="BI22" s="17"/>
      <c r="BJ22" s="17"/>
      <c r="BK22" s="17"/>
      <c r="BL22" s="17"/>
      <c r="BM22" s="17"/>
      <c r="BN22" s="17"/>
      <c r="BO22" s="17"/>
      <c r="BP22" s="17"/>
      <c r="BQ22" s="17"/>
      <c r="BR22" s="17" t="s">
        <v>91</v>
      </c>
      <c r="BS22" s="17" t="s">
        <v>91</v>
      </c>
      <c r="BT22" s="17"/>
      <c r="BU22" s="17" t="s">
        <v>323</v>
      </c>
      <c r="BV22" s="17"/>
      <c r="BW22" s="17"/>
      <c r="BX22" s="17"/>
      <c r="BY22" s="17" t="s">
        <v>92</v>
      </c>
      <c r="BZ22" s="17"/>
      <c r="CA22" s="17" t="s">
        <v>148</v>
      </c>
      <c r="CB22" s="17" t="s">
        <v>324</v>
      </c>
      <c r="CC22" s="17" t="s">
        <v>325</v>
      </c>
      <c r="CD22" s="17" t="s">
        <v>326</v>
      </c>
      <c r="CE22" s="20"/>
      <c r="CF22" s="17" t="s">
        <v>91</v>
      </c>
    </row>
    <row r="23" spans="1:84" ht="15" x14ac:dyDescent="0.2">
      <c r="A23" s="17" t="s">
        <v>225</v>
      </c>
      <c r="B23" s="18">
        <v>48198418</v>
      </c>
      <c r="C23" s="19">
        <v>45378.506249999999</v>
      </c>
      <c r="D23" s="17" t="s">
        <v>327</v>
      </c>
      <c r="E23" s="17" t="s">
        <v>145</v>
      </c>
      <c r="F23" s="20"/>
      <c r="G23" s="21">
        <v>599</v>
      </c>
      <c r="H23" s="21">
        <v>625.42999999999995</v>
      </c>
      <c r="I23" s="21">
        <v>26.43</v>
      </c>
      <c r="J23" s="17" t="s">
        <v>97</v>
      </c>
      <c r="K23" s="22">
        <v>34094</v>
      </c>
      <c r="L23" s="18">
        <v>30</v>
      </c>
      <c r="M23" s="17" t="s">
        <v>171</v>
      </c>
      <c r="N23" s="17" t="s">
        <v>162</v>
      </c>
      <c r="O23" s="18">
        <v>10025</v>
      </c>
      <c r="P23" s="17" t="s">
        <v>86</v>
      </c>
      <c r="Q23" s="17" t="s">
        <v>87</v>
      </c>
      <c r="R23" s="17" t="s">
        <v>105</v>
      </c>
      <c r="S23" s="17" t="s">
        <v>94</v>
      </c>
      <c r="T23" s="17"/>
      <c r="U23" s="17" t="s">
        <v>151</v>
      </c>
      <c r="V23" s="20"/>
      <c r="W23" s="17"/>
      <c r="X23" s="17" t="s">
        <v>328</v>
      </c>
      <c r="Y23" s="17" t="s">
        <v>103</v>
      </c>
      <c r="Z23" s="20"/>
      <c r="AA23" s="17" t="s">
        <v>91</v>
      </c>
      <c r="AB23" s="17" t="s">
        <v>91</v>
      </c>
      <c r="AC23" s="17" t="s">
        <v>91</v>
      </c>
      <c r="AD23" s="17"/>
      <c r="AE23" s="17"/>
      <c r="AF23" s="17"/>
      <c r="AG23" s="17"/>
      <c r="AH23" s="17"/>
      <c r="AI23" s="17"/>
      <c r="AJ23" s="17"/>
      <c r="AK23" s="17"/>
      <c r="AL23" s="17" t="s">
        <v>91</v>
      </c>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t="s">
        <v>91</v>
      </c>
      <c r="BT23" s="17"/>
      <c r="BU23" s="17" t="s">
        <v>329</v>
      </c>
      <c r="BV23" s="20"/>
      <c r="BW23" s="20"/>
      <c r="BX23" s="17"/>
      <c r="BY23" s="17" t="s">
        <v>92</v>
      </c>
      <c r="BZ23" s="17"/>
      <c r="CA23" s="17" t="s">
        <v>148</v>
      </c>
      <c r="CB23" s="17" t="s">
        <v>330</v>
      </c>
      <c r="CC23" s="17" t="s">
        <v>331</v>
      </c>
      <c r="CD23" s="17" t="s">
        <v>332</v>
      </c>
      <c r="CE23" s="20"/>
      <c r="CF23" s="17" t="s">
        <v>91</v>
      </c>
    </row>
    <row r="24" spans="1:84" ht="15" x14ac:dyDescent="0.2">
      <c r="A24" s="17" t="s">
        <v>225</v>
      </c>
      <c r="B24" s="18">
        <v>46958550</v>
      </c>
      <c r="C24" s="19">
        <v>45442.211111111108</v>
      </c>
      <c r="D24" s="17" t="s">
        <v>333</v>
      </c>
      <c r="E24" s="17" t="s">
        <v>145</v>
      </c>
      <c r="F24" s="23"/>
      <c r="G24" s="21">
        <v>599</v>
      </c>
      <c r="H24" s="21">
        <v>626.91</v>
      </c>
      <c r="I24" s="21">
        <v>27.92</v>
      </c>
      <c r="J24" s="17" t="s">
        <v>97</v>
      </c>
      <c r="K24" s="22">
        <v>34657</v>
      </c>
      <c r="L24" s="18">
        <v>29</v>
      </c>
      <c r="M24" s="17" t="s">
        <v>209</v>
      </c>
      <c r="N24" s="17" t="s">
        <v>167</v>
      </c>
      <c r="O24" s="18">
        <v>2452</v>
      </c>
      <c r="P24" s="17" t="s">
        <v>86</v>
      </c>
      <c r="Q24" s="17" t="s">
        <v>87</v>
      </c>
      <c r="R24" s="17" t="s">
        <v>88</v>
      </c>
      <c r="S24" s="17" t="s">
        <v>94</v>
      </c>
      <c r="T24" s="17"/>
      <c r="U24" s="17" t="s">
        <v>151</v>
      </c>
      <c r="V24" s="20"/>
      <c r="W24" s="17"/>
      <c r="X24" s="17"/>
      <c r="Y24" s="17" t="s">
        <v>100</v>
      </c>
      <c r="Z24" s="17"/>
      <c r="AA24" s="17"/>
      <c r="AB24" s="17"/>
      <c r="AC24" s="17"/>
      <c r="AD24" s="17" t="s">
        <v>91</v>
      </c>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t="s">
        <v>91</v>
      </c>
      <c r="BM24" s="17"/>
      <c r="BN24" s="17"/>
      <c r="BO24" s="17"/>
      <c r="BP24" s="17"/>
      <c r="BQ24" s="17"/>
      <c r="BR24" s="17" t="s">
        <v>91</v>
      </c>
      <c r="BS24" s="17"/>
      <c r="BT24" s="17"/>
      <c r="BU24" s="17" t="s">
        <v>334</v>
      </c>
      <c r="BV24" s="17" t="s">
        <v>335</v>
      </c>
      <c r="BW24" s="17"/>
      <c r="BX24" s="17"/>
      <c r="BY24" s="17" t="s">
        <v>92</v>
      </c>
      <c r="BZ24" s="17"/>
      <c r="CA24" s="17" t="s">
        <v>148</v>
      </c>
      <c r="CB24" s="17" t="s">
        <v>336</v>
      </c>
      <c r="CC24" s="17" t="s">
        <v>337</v>
      </c>
      <c r="CD24" s="17" t="s">
        <v>137</v>
      </c>
      <c r="CE24" s="17"/>
      <c r="CF24" s="17" t="s">
        <v>91</v>
      </c>
    </row>
    <row r="25" spans="1:84" ht="15" x14ac:dyDescent="0.2">
      <c r="A25" s="17" t="s">
        <v>225</v>
      </c>
      <c r="B25" s="18">
        <v>49108150</v>
      </c>
      <c r="C25" s="19">
        <v>45378.047222222223</v>
      </c>
      <c r="D25" s="17" t="s">
        <v>338</v>
      </c>
      <c r="E25" s="17" t="s">
        <v>168</v>
      </c>
      <c r="F25" s="17"/>
      <c r="G25" s="21">
        <v>725</v>
      </c>
      <c r="H25" s="21">
        <v>755.84</v>
      </c>
      <c r="I25" s="21">
        <v>30.84</v>
      </c>
      <c r="J25" s="17" t="s">
        <v>97</v>
      </c>
      <c r="K25" s="22">
        <v>31949</v>
      </c>
      <c r="L25" s="18">
        <v>36</v>
      </c>
      <c r="M25" s="17" t="s">
        <v>339</v>
      </c>
      <c r="N25" s="17" t="s">
        <v>162</v>
      </c>
      <c r="O25" s="18">
        <v>11570</v>
      </c>
      <c r="P25" s="17" t="s">
        <v>86</v>
      </c>
      <c r="Q25" s="17" t="s">
        <v>87</v>
      </c>
      <c r="R25" s="17" t="s">
        <v>88</v>
      </c>
      <c r="S25" s="17" t="s">
        <v>94</v>
      </c>
      <c r="T25" s="17"/>
      <c r="U25" s="17" t="s">
        <v>147</v>
      </c>
      <c r="V25" s="20"/>
      <c r="W25" s="17"/>
      <c r="X25" s="17"/>
      <c r="Y25" s="17" t="s">
        <v>100</v>
      </c>
      <c r="Z25" s="17"/>
      <c r="AA25" s="17"/>
      <c r="AB25" s="17"/>
      <c r="AC25" s="17"/>
      <c r="AD25" s="17" t="s">
        <v>91</v>
      </c>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t="s">
        <v>91</v>
      </c>
      <c r="BL25" s="17" t="s">
        <v>91</v>
      </c>
      <c r="BM25" s="17"/>
      <c r="BN25" s="17" t="s">
        <v>91</v>
      </c>
      <c r="BO25" s="17"/>
      <c r="BP25" s="17"/>
      <c r="BQ25" s="17"/>
      <c r="BR25" s="17"/>
      <c r="BS25" s="17" t="s">
        <v>91</v>
      </c>
      <c r="BT25" s="17"/>
      <c r="BU25" s="17" t="s">
        <v>340</v>
      </c>
      <c r="BV25" s="17" t="s">
        <v>341</v>
      </c>
      <c r="BW25" s="20"/>
      <c r="BX25" s="17"/>
      <c r="BY25" s="17" t="s">
        <v>92</v>
      </c>
      <c r="BZ25" s="17"/>
      <c r="CA25" s="17" t="s">
        <v>92</v>
      </c>
      <c r="CB25" s="17" t="s">
        <v>144</v>
      </c>
      <c r="CC25" s="17" t="s">
        <v>342</v>
      </c>
      <c r="CD25" s="17" t="s">
        <v>343</v>
      </c>
      <c r="CE25" s="20"/>
      <c r="CF25" s="17" t="s">
        <v>91</v>
      </c>
    </row>
    <row r="26" spans="1:84" ht="15" x14ac:dyDescent="0.2">
      <c r="A26" s="17" t="s">
        <v>225</v>
      </c>
      <c r="B26" s="18">
        <v>46950918</v>
      </c>
      <c r="C26" s="19">
        <v>45378.527777777781</v>
      </c>
      <c r="D26" s="17" t="s">
        <v>344</v>
      </c>
      <c r="E26" s="17" t="s">
        <v>145</v>
      </c>
      <c r="F26" s="17" t="s">
        <v>113</v>
      </c>
      <c r="G26" s="21">
        <v>599</v>
      </c>
      <c r="H26" s="21">
        <v>0</v>
      </c>
      <c r="I26" s="21">
        <v>0</v>
      </c>
      <c r="J26" s="17" t="s">
        <v>97</v>
      </c>
      <c r="K26" s="22">
        <v>32652</v>
      </c>
      <c r="L26" s="18">
        <v>35</v>
      </c>
      <c r="M26" s="17" t="s">
        <v>195</v>
      </c>
      <c r="N26" s="17" t="s">
        <v>184</v>
      </c>
      <c r="O26" s="18">
        <v>6111</v>
      </c>
      <c r="P26" s="17" t="s">
        <v>86</v>
      </c>
      <c r="Q26" s="17" t="s">
        <v>87</v>
      </c>
      <c r="R26" s="17" t="s">
        <v>88</v>
      </c>
      <c r="S26" s="17" t="s">
        <v>94</v>
      </c>
      <c r="T26" s="17"/>
      <c r="U26" s="17" t="s">
        <v>147</v>
      </c>
      <c r="V26" s="20"/>
      <c r="W26" s="17"/>
      <c r="X26" s="17" t="s">
        <v>345</v>
      </c>
      <c r="Y26" s="17" t="s">
        <v>100</v>
      </c>
      <c r="Z26" s="17"/>
      <c r="AA26" s="17" t="s">
        <v>91</v>
      </c>
      <c r="AB26" s="17" t="s">
        <v>91</v>
      </c>
      <c r="AC26" s="17"/>
      <c r="AD26" s="17"/>
      <c r="AE26" s="17"/>
      <c r="AF26" s="17"/>
      <c r="AG26" s="17"/>
      <c r="AH26" s="17"/>
      <c r="AI26" s="17"/>
      <c r="AJ26" s="17"/>
      <c r="AK26" s="17"/>
      <c r="AL26" s="17" t="s">
        <v>91</v>
      </c>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t="s">
        <v>91</v>
      </c>
      <c r="BS26" s="17" t="s">
        <v>91</v>
      </c>
      <c r="BT26" s="17"/>
      <c r="BU26" s="17" t="s">
        <v>346</v>
      </c>
      <c r="BV26" s="17"/>
      <c r="BW26" s="17"/>
      <c r="BX26" s="17"/>
      <c r="BY26" s="17" t="s">
        <v>92</v>
      </c>
      <c r="BZ26" s="17"/>
      <c r="CA26" s="17" t="s">
        <v>92</v>
      </c>
      <c r="CB26" s="17" t="s">
        <v>347</v>
      </c>
      <c r="CC26" s="17" t="s">
        <v>348</v>
      </c>
      <c r="CD26" s="17" t="s">
        <v>349</v>
      </c>
      <c r="CE26" s="17" t="s">
        <v>303</v>
      </c>
      <c r="CF26" s="17" t="s">
        <v>91</v>
      </c>
    </row>
    <row r="27" spans="1:84" ht="15" x14ac:dyDescent="0.2">
      <c r="A27" s="17" t="s">
        <v>225</v>
      </c>
      <c r="B27" s="18">
        <v>46959481</v>
      </c>
      <c r="C27" s="19">
        <v>45376.609722222223</v>
      </c>
      <c r="D27" s="17" t="s">
        <v>350</v>
      </c>
      <c r="E27" s="17" t="s">
        <v>154</v>
      </c>
      <c r="F27" s="20"/>
      <c r="G27" s="21">
        <v>825</v>
      </c>
      <c r="H27" s="21">
        <v>859.04</v>
      </c>
      <c r="I27" s="21">
        <v>25.22</v>
      </c>
      <c r="J27" s="17" t="s">
        <v>84</v>
      </c>
      <c r="K27" s="22">
        <v>31883</v>
      </c>
      <c r="L27" s="18">
        <v>37</v>
      </c>
      <c r="M27" s="17" t="s">
        <v>171</v>
      </c>
      <c r="N27" s="17" t="s">
        <v>162</v>
      </c>
      <c r="O27" s="18">
        <v>10021</v>
      </c>
      <c r="P27" s="17" t="s">
        <v>86</v>
      </c>
      <c r="Q27" s="17" t="s">
        <v>87</v>
      </c>
      <c r="R27" s="17" t="s">
        <v>108</v>
      </c>
      <c r="S27" s="17" t="s">
        <v>94</v>
      </c>
      <c r="T27" s="17" t="s">
        <v>351</v>
      </c>
      <c r="U27" s="17" t="s">
        <v>160</v>
      </c>
      <c r="V27" s="20"/>
      <c r="W27" s="20"/>
      <c r="X27" s="17" t="s">
        <v>103</v>
      </c>
      <c r="Y27" s="20"/>
      <c r="Z27" s="17"/>
      <c r="AA27" s="17"/>
      <c r="AB27" s="17"/>
      <c r="AC27" s="17" t="s">
        <v>91</v>
      </c>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t="s">
        <v>91</v>
      </c>
      <c r="BQ27" s="17" t="s">
        <v>91</v>
      </c>
      <c r="BR27" s="17" t="s">
        <v>91</v>
      </c>
      <c r="BS27" s="17"/>
      <c r="BT27" s="17" t="s">
        <v>352</v>
      </c>
      <c r="BU27" s="17"/>
      <c r="BV27" s="17"/>
      <c r="BW27" s="17" t="s">
        <v>353</v>
      </c>
      <c r="BX27" s="17" t="s">
        <v>92</v>
      </c>
      <c r="BY27" s="17"/>
      <c r="BZ27" s="17" t="s">
        <v>156</v>
      </c>
      <c r="CA27" s="17"/>
      <c r="CB27" s="17"/>
      <c r="CC27" s="17"/>
      <c r="CD27" s="17"/>
      <c r="CE27" s="17" t="s">
        <v>91</v>
      </c>
      <c r="CF27" s="17"/>
    </row>
    <row r="28" spans="1:84" ht="15" x14ac:dyDescent="0.2">
      <c r="A28" s="17" t="s">
        <v>225</v>
      </c>
      <c r="B28" s="18">
        <v>46910297</v>
      </c>
      <c r="C28" s="19">
        <v>45377.904166666667</v>
      </c>
      <c r="D28" s="17" t="s">
        <v>354</v>
      </c>
      <c r="E28" s="17" t="s">
        <v>145</v>
      </c>
      <c r="F28" s="17" t="s">
        <v>113</v>
      </c>
      <c r="G28" s="21">
        <v>599</v>
      </c>
      <c r="H28" s="21">
        <v>0</v>
      </c>
      <c r="I28" s="21">
        <v>0</v>
      </c>
      <c r="J28" s="17" t="s">
        <v>97</v>
      </c>
      <c r="K28" s="22">
        <v>32417</v>
      </c>
      <c r="L28" s="18">
        <v>35</v>
      </c>
      <c r="M28" s="17" t="s">
        <v>208</v>
      </c>
      <c r="N28" s="17" t="s">
        <v>167</v>
      </c>
      <c r="O28" s="18">
        <v>2139</v>
      </c>
      <c r="P28" s="17" t="s">
        <v>86</v>
      </c>
      <c r="Q28" s="17" t="s">
        <v>87</v>
      </c>
      <c r="R28" s="17" t="s">
        <v>88</v>
      </c>
      <c r="S28" s="17" t="s">
        <v>94</v>
      </c>
      <c r="T28" s="17"/>
      <c r="U28" s="17" t="s">
        <v>151</v>
      </c>
      <c r="V28" s="20"/>
      <c r="W28" s="17"/>
      <c r="X28" s="17"/>
      <c r="Y28" s="17" t="s">
        <v>106</v>
      </c>
      <c r="Z28" s="20"/>
      <c r="AA28" s="17" t="s">
        <v>91</v>
      </c>
      <c r="AB28" s="17" t="s">
        <v>91</v>
      </c>
      <c r="AC28" s="17"/>
      <c r="AD28" s="17"/>
      <c r="AE28" s="17"/>
      <c r="AF28" s="17"/>
      <c r="AG28" s="17"/>
      <c r="AH28" s="17"/>
      <c r="AI28" s="17"/>
      <c r="AJ28" s="17"/>
      <c r="AK28" s="17"/>
      <c r="AL28" s="17" t="s">
        <v>91</v>
      </c>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t="s">
        <v>91</v>
      </c>
      <c r="BS28" s="17"/>
      <c r="BT28" s="17"/>
      <c r="BU28" s="17" t="s">
        <v>355</v>
      </c>
      <c r="BV28" s="17"/>
      <c r="BW28" s="17"/>
      <c r="BX28" s="17"/>
      <c r="BY28" s="17" t="s">
        <v>92</v>
      </c>
      <c r="BZ28" s="17"/>
      <c r="CA28" s="17" t="s">
        <v>148</v>
      </c>
      <c r="CB28" s="17" t="s">
        <v>356</v>
      </c>
      <c r="CC28" s="17" t="s">
        <v>357</v>
      </c>
      <c r="CD28" s="17" t="s">
        <v>141</v>
      </c>
      <c r="CE28" s="17"/>
      <c r="CF28" s="17" t="s">
        <v>91</v>
      </c>
    </row>
    <row r="29" spans="1:84" ht="15" x14ac:dyDescent="0.2">
      <c r="A29" s="17" t="s">
        <v>225</v>
      </c>
      <c r="B29" s="18">
        <v>46947898</v>
      </c>
      <c r="C29" s="19">
        <v>45377.950694444444</v>
      </c>
      <c r="D29" s="17" t="s">
        <v>358</v>
      </c>
      <c r="E29" s="17" t="s">
        <v>145</v>
      </c>
      <c r="F29" s="17" t="s">
        <v>113</v>
      </c>
      <c r="G29" s="21">
        <v>599</v>
      </c>
      <c r="H29" s="21">
        <v>0</v>
      </c>
      <c r="I29" s="21">
        <v>0</v>
      </c>
      <c r="J29" s="17" t="s">
        <v>97</v>
      </c>
      <c r="K29" s="22">
        <v>31392</v>
      </c>
      <c r="L29" s="18">
        <v>38</v>
      </c>
      <c r="M29" s="17" t="s">
        <v>359</v>
      </c>
      <c r="N29" s="17" t="s">
        <v>167</v>
      </c>
      <c r="O29" s="18">
        <v>2135</v>
      </c>
      <c r="P29" s="17" t="s">
        <v>86</v>
      </c>
      <c r="Q29" s="17" t="s">
        <v>87</v>
      </c>
      <c r="R29" s="17" t="s">
        <v>88</v>
      </c>
      <c r="S29" s="17" t="s">
        <v>94</v>
      </c>
      <c r="T29" s="17"/>
      <c r="U29" s="17" t="s">
        <v>151</v>
      </c>
      <c r="V29" s="20"/>
      <c r="W29" s="17"/>
      <c r="X29" s="17" t="s">
        <v>360</v>
      </c>
      <c r="Y29" s="17" t="s">
        <v>95</v>
      </c>
      <c r="Z29" s="17"/>
      <c r="AA29" s="17" t="s">
        <v>91</v>
      </c>
      <c r="AB29" s="17" t="s">
        <v>91</v>
      </c>
      <c r="AC29" s="17" t="s">
        <v>91</v>
      </c>
      <c r="AD29" s="17"/>
      <c r="AE29" s="17"/>
      <c r="AF29" s="17"/>
      <c r="AG29" s="17"/>
      <c r="AH29" s="17"/>
      <c r="AI29" s="17"/>
      <c r="AJ29" s="17"/>
      <c r="AK29" s="17"/>
      <c r="AL29" s="17" t="s">
        <v>91</v>
      </c>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t="s">
        <v>91</v>
      </c>
      <c r="BS29" s="17" t="s">
        <v>91</v>
      </c>
      <c r="BT29" s="17"/>
      <c r="BU29" s="17" t="s">
        <v>361</v>
      </c>
      <c r="BV29" s="17"/>
      <c r="BW29" s="17"/>
      <c r="BX29" s="17"/>
      <c r="BY29" s="17" t="s">
        <v>92</v>
      </c>
      <c r="BZ29" s="17"/>
      <c r="CA29" s="17" t="s">
        <v>92</v>
      </c>
      <c r="CB29" s="17" t="s">
        <v>362</v>
      </c>
      <c r="CC29" s="17" t="s">
        <v>363</v>
      </c>
      <c r="CD29" s="17" t="s">
        <v>364</v>
      </c>
      <c r="CE29" s="17" t="s">
        <v>365</v>
      </c>
      <c r="CF29" s="17" t="s">
        <v>91</v>
      </c>
    </row>
    <row r="30" spans="1:84" ht="15" x14ac:dyDescent="0.2">
      <c r="A30" s="17" t="s">
        <v>225</v>
      </c>
      <c r="B30" s="18">
        <v>46949249</v>
      </c>
      <c r="C30" s="19">
        <v>45412.927083333336</v>
      </c>
      <c r="D30" s="17" t="s">
        <v>358</v>
      </c>
      <c r="E30" s="17" t="s">
        <v>145</v>
      </c>
      <c r="F30" s="17" t="s">
        <v>113</v>
      </c>
      <c r="G30" s="21">
        <v>599</v>
      </c>
      <c r="H30" s="21">
        <v>0</v>
      </c>
      <c r="I30" s="21">
        <v>0</v>
      </c>
      <c r="J30" s="17" t="s">
        <v>97</v>
      </c>
      <c r="K30" s="22">
        <v>36712</v>
      </c>
      <c r="L30" s="18">
        <v>23</v>
      </c>
      <c r="M30" s="17" t="s">
        <v>366</v>
      </c>
      <c r="N30" s="17" t="s">
        <v>184</v>
      </c>
      <c r="O30" s="18">
        <v>6074</v>
      </c>
      <c r="P30" s="17" t="s">
        <v>86</v>
      </c>
      <c r="Q30" s="17" t="s">
        <v>87</v>
      </c>
      <c r="R30" s="17" t="s">
        <v>105</v>
      </c>
      <c r="S30" s="17" t="s">
        <v>99</v>
      </c>
      <c r="T30" s="17" t="s">
        <v>188</v>
      </c>
      <c r="U30" s="17" t="s">
        <v>151</v>
      </c>
      <c r="V30" s="20"/>
      <c r="W30" s="17"/>
      <c r="X30" s="17"/>
      <c r="Y30" s="17" t="s">
        <v>106</v>
      </c>
      <c r="Z30" s="20"/>
      <c r="AA30" s="17"/>
      <c r="AB30" s="17"/>
      <c r="AC30" s="17"/>
      <c r="AD30" s="17" t="s">
        <v>91</v>
      </c>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t="s">
        <v>91</v>
      </c>
      <c r="BM30" s="17"/>
      <c r="BN30" s="17"/>
      <c r="BO30" s="17"/>
      <c r="BP30" s="17"/>
      <c r="BQ30" s="17"/>
      <c r="BR30" s="17"/>
      <c r="BS30" s="17" t="s">
        <v>91</v>
      </c>
      <c r="BT30" s="17"/>
      <c r="BU30" s="17" t="s">
        <v>367</v>
      </c>
      <c r="BV30" s="17" t="s">
        <v>266</v>
      </c>
      <c r="BW30" s="17"/>
      <c r="BX30" s="17"/>
      <c r="BY30" s="17" t="s">
        <v>91</v>
      </c>
      <c r="BZ30" s="17" t="s">
        <v>368</v>
      </c>
      <c r="CA30" s="17" t="s">
        <v>148</v>
      </c>
      <c r="CB30" s="17" t="s">
        <v>369</v>
      </c>
      <c r="CC30" s="17" t="s">
        <v>370</v>
      </c>
      <c r="CD30" s="17" t="s">
        <v>371</v>
      </c>
      <c r="CE30" s="17" t="s">
        <v>372</v>
      </c>
      <c r="CF30" s="17" t="s">
        <v>91</v>
      </c>
    </row>
    <row r="31" spans="1:84" ht="15" x14ac:dyDescent="0.2">
      <c r="A31" s="17" t="s">
        <v>225</v>
      </c>
      <c r="B31" s="18">
        <v>48223511</v>
      </c>
      <c r="C31" s="19">
        <v>45377.929166666669</v>
      </c>
      <c r="D31" s="17" t="s">
        <v>373</v>
      </c>
      <c r="E31" s="17" t="s">
        <v>145</v>
      </c>
      <c r="F31" s="23"/>
      <c r="G31" s="21">
        <v>599</v>
      </c>
      <c r="H31" s="21">
        <v>625.42999999999995</v>
      </c>
      <c r="I31" s="21">
        <v>26.43</v>
      </c>
      <c r="J31" s="17" t="s">
        <v>97</v>
      </c>
      <c r="K31" s="22">
        <v>35656</v>
      </c>
      <c r="L31" s="18">
        <v>26</v>
      </c>
      <c r="M31" s="17" t="s">
        <v>374</v>
      </c>
      <c r="N31" s="17" t="s">
        <v>167</v>
      </c>
      <c r="O31" s="18">
        <v>1760</v>
      </c>
      <c r="P31" s="17" t="s">
        <v>86</v>
      </c>
      <c r="Q31" s="17" t="s">
        <v>87</v>
      </c>
      <c r="R31" s="17" t="s">
        <v>93</v>
      </c>
      <c r="S31" s="17" t="s">
        <v>94</v>
      </c>
      <c r="T31" s="17"/>
      <c r="U31" s="17" t="s">
        <v>151</v>
      </c>
      <c r="V31" s="17"/>
      <c r="W31" s="17"/>
      <c r="X31" s="17" t="s">
        <v>375</v>
      </c>
      <c r="Y31" s="17" t="s">
        <v>103</v>
      </c>
      <c r="Z31" s="20"/>
      <c r="AA31" s="17" t="s">
        <v>91</v>
      </c>
      <c r="AB31" s="17"/>
      <c r="AC31" s="17"/>
      <c r="AD31" s="17"/>
      <c r="AE31" s="17"/>
      <c r="AF31" s="17"/>
      <c r="AG31" s="17"/>
      <c r="AH31" s="17"/>
      <c r="AI31" s="17"/>
      <c r="AJ31" s="17"/>
      <c r="AK31" s="17"/>
      <c r="AL31" s="17" t="s">
        <v>91</v>
      </c>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t="s">
        <v>91</v>
      </c>
      <c r="BT31" s="17"/>
      <c r="BU31" s="17" t="s">
        <v>104</v>
      </c>
      <c r="BV31" s="20"/>
      <c r="BW31" s="17"/>
      <c r="BX31" s="17"/>
      <c r="BY31" s="17" t="s">
        <v>92</v>
      </c>
      <c r="BZ31" s="17"/>
      <c r="CA31" s="17" t="s">
        <v>148</v>
      </c>
      <c r="CB31" s="17" t="s">
        <v>376</v>
      </c>
      <c r="CC31" s="17" t="s">
        <v>377</v>
      </c>
      <c r="CD31" s="17" t="s">
        <v>378</v>
      </c>
      <c r="CE31" s="17"/>
      <c r="CF31" s="17" t="s">
        <v>91</v>
      </c>
    </row>
    <row r="32" spans="1:84" ht="15" x14ac:dyDescent="0.2">
      <c r="A32" s="17" t="s">
        <v>225</v>
      </c>
      <c r="B32" s="18">
        <v>46948642</v>
      </c>
      <c r="C32" s="19">
        <v>45393.55972222222</v>
      </c>
      <c r="D32" s="17" t="s">
        <v>379</v>
      </c>
      <c r="E32" s="17" t="s">
        <v>145</v>
      </c>
      <c r="F32" s="20"/>
      <c r="G32" s="21">
        <v>599</v>
      </c>
      <c r="H32" s="21">
        <v>625.13</v>
      </c>
      <c r="I32" s="21">
        <v>26.14</v>
      </c>
      <c r="J32" s="17" t="s">
        <v>97</v>
      </c>
      <c r="K32" s="22">
        <v>34655</v>
      </c>
      <c r="L32" s="18">
        <v>29</v>
      </c>
      <c r="M32" s="17" t="s">
        <v>171</v>
      </c>
      <c r="N32" s="17" t="s">
        <v>162</v>
      </c>
      <c r="O32" s="18">
        <v>10024</v>
      </c>
      <c r="P32" s="17" t="s">
        <v>86</v>
      </c>
      <c r="Q32" s="17" t="s">
        <v>87</v>
      </c>
      <c r="R32" s="17" t="s">
        <v>88</v>
      </c>
      <c r="S32" s="17" t="s">
        <v>94</v>
      </c>
      <c r="T32" s="17"/>
      <c r="U32" s="17" t="s">
        <v>151</v>
      </c>
      <c r="V32" s="20"/>
      <c r="W32" s="17"/>
      <c r="X32" s="17" t="s">
        <v>380</v>
      </c>
      <c r="Y32" s="17" t="s">
        <v>103</v>
      </c>
      <c r="Z32" s="20"/>
      <c r="AA32" s="17" t="s">
        <v>91</v>
      </c>
      <c r="AB32" s="17"/>
      <c r="AC32" s="17"/>
      <c r="AD32" s="17"/>
      <c r="AE32" s="17"/>
      <c r="AF32" s="17"/>
      <c r="AG32" s="17"/>
      <c r="AH32" s="17"/>
      <c r="AI32" s="17"/>
      <c r="AJ32" s="17"/>
      <c r="AK32" s="17"/>
      <c r="AL32" s="17" t="s">
        <v>91</v>
      </c>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t="s">
        <v>91</v>
      </c>
      <c r="BS32" s="17"/>
      <c r="BT32" s="17"/>
      <c r="BU32" s="17" t="s">
        <v>381</v>
      </c>
      <c r="BV32" s="17"/>
      <c r="BW32" s="17"/>
      <c r="BX32" s="17"/>
      <c r="BY32" s="17" t="s">
        <v>92</v>
      </c>
      <c r="BZ32" s="17"/>
      <c r="CA32" s="17" t="s">
        <v>148</v>
      </c>
      <c r="CB32" s="17" t="s">
        <v>211</v>
      </c>
      <c r="CC32" s="17" t="s">
        <v>382</v>
      </c>
      <c r="CD32" s="17" t="s">
        <v>383</v>
      </c>
      <c r="CE32" s="17" t="s">
        <v>384</v>
      </c>
      <c r="CF32" s="17" t="s">
        <v>91</v>
      </c>
    </row>
    <row r="33" spans="1:84" ht="15" x14ac:dyDescent="0.2">
      <c r="A33" s="17" t="s">
        <v>225</v>
      </c>
      <c r="B33" s="18">
        <v>47498689</v>
      </c>
      <c r="C33" s="19">
        <v>45410.448611111111</v>
      </c>
      <c r="D33" s="17" t="s">
        <v>385</v>
      </c>
      <c r="E33" s="17" t="s">
        <v>145</v>
      </c>
      <c r="F33" s="23"/>
      <c r="G33" s="21">
        <v>599</v>
      </c>
      <c r="H33" s="21">
        <v>625.13</v>
      </c>
      <c r="I33" s="21">
        <v>18.43</v>
      </c>
      <c r="J33" s="17" t="s">
        <v>97</v>
      </c>
      <c r="K33" s="22">
        <v>35710</v>
      </c>
      <c r="L33" s="18">
        <v>26</v>
      </c>
      <c r="M33" s="17" t="s">
        <v>386</v>
      </c>
      <c r="N33" s="17" t="s">
        <v>162</v>
      </c>
      <c r="O33" s="18" t="s">
        <v>387</v>
      </c>
      <c r="P33" s="17" t="s">
        <v>86</v>
      </c>
      <c r="Q33" s="17" t="s">
        <v>87</v>
      </c>
      <c r="R33" s="17" t="s">
        <v>88</v>
      </c>
      <c r="S33" s="17" t="s">
        <v>94</v>
      </c>
      <c r="T33" s="17"/>
      <c r="U33" s="17" t="s">
        <v>151</v>
      </c>
      <c r="V33" s="20"/>
      <c r="W33" s="17"/>
      <c r="X33" s="17"/>
      <c r="Y33" s="17" t="s">
        <v>95</v>
      </c>
      <c r="Z33" s="17"/>
      <c r="AA33" s="17"/>
      <c r="AB33" s="17"/>
      <c r="AC33" s="17"/>
      <c r="AD33" s="17" t="s">
        <v>91</v>
      </c>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t="s">
        <v>91</v>
      </c>
      <c r="BJ33" s="17"/>
      <c r="BK33" s="17"/>
      <c r="BL33" s="17"/>
      <c r="BM33" s="17"/>
      <c r="BN33" s="17"/>
      <c r="BO33" s="17"/>
      <c r="BP33" s="17"/>
      <c r="BQ33" s="17"/>
      <c r="BR33" s="17" t="s">
        <v>91</v>
      </c>
      <c r="BS33" s="17" t="s">
        <v>91</v>
      </c>
      <c r="BT33" s="17"/>
      <c r="BU33" s="17" t="s">
        <v>388</v>
      </c>
      <c r="BV33" s="20"/>
      <c r="BW33" s="20"/>
      <c r="BX33" s="20"/>
      <c r="BY33" s="17" t="s">
        <v>91</v>
      </c>
      <c r="BZ33" s="17" t="s">
        <v>389</v>
      </c>
      <c r="CA33" s="17" t="s">
        <v>92</v>
      </c>
      <c r="CB33" s="17" t="s">
        <v>390</v>
      </c>
      <c r="CC33" s="20"/>
      <c r="CD33" s="17" t="s">
        <v>391</v>
      </c>
      <c r="CE33" s="17"/>
      <c r="CF33" s="17" t="s">
        <v>91</v>
      </c>
    </row>
    <row r="34" spans="1:84" ht="15" x14ac:dyDescent="0.2">
      <c r="A34" s="17" t="s">
        <v>225</v>
      </c>
      <c r="B34" s="18">
        <v>48136428</v>
      </c>
      <c r="C34" s="19">
        <v>45383.795138888891</v>
      </c>
      <c r="D34" s="17" t="s">
        <v>392</v>
      </c>
      <c r="E34" s="17" t="s">
        <v>145</v>
      </c>
      <c r="F34" s="23"/>
      <c r="G34" s="21">
        <v>599</v>
      </c>
      <c r="H34" s="21">
        <v>625.42999999999995</v>
      </c>
      <c r="I34" s="21">
        <v>26.43</v>
      </c>
      <c r="J34" s="17" t="s">
        <v>84</v>
      </c>
      <c r="K34" s="22">
        <v>34254</v>
      </c>
      <c r="L34" s="18">
        <v>30</v>
      </c>
      <c r="M34" s="17" t="s">
        <v>146</v>
      </c>
      <c r="N34" s="17" t="s">
        <v>115</v>
      </c>
      <c r="O34" s="18">
        <v>60657</v>
      </c>
      <c r="P34" s="17" t="s">
        <v>86</v>
      </c>
      <c r="Q34" s="17" t="s">
        <v>87</v>
      </c>
      <c r="R34" s="17" t="s">
        <v>105</v>
      </c>
      <c r="S34" s="17" t="s">
        <v>393</v>
      </c>
      <c r="T34" s="17"/>
      <c r="U34" s="17" t="s">
        <v>147</v>
      </c>
      <c r="V34" s="20"/>
      <c r="W34" s="17"/>
      <c r="X34" s="17"/>
      <c r="Y34" s="17" t="s">
        <v>100</v>
      </c>
      <c r="Z34" s="17"/>
      <c r="AA34" s="17"/>
      <c r="AB34" s="17" t="s">
        <v>91</v>
      </c>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t="s">
        <v>91</v>
      </c>
      <c r="BH34" s="17"/>
      <c r="BI34" s="17"/>
      <c r="BJ34" s="17"/>
      <c r="BK34" s="17"/>
      <c r="BL34" s="17"/>
      <c r="BM34" s="17"/>
      <c r="BN34" s="17"/>
      <c r="BO34" s="17"/>
      <c r="BP34" s="17"/>
      <c r="BQ34" s="17"/>
      <c r="BR34" s="17"/>
      <c r="BS34" s="17"/>
      <c r="BT34" s="17" t="s">
        <v>91</v>
      </c>
      <c r="BU34" s="17"/>
      <c r="BV34" s="17"/>
      <c r="BW34" s="17"/>
      <c r="BX34" s="17"/>
      <c r="BY34" s="17" t="s">
        <v>92</v>
      </c>
      <c r="BZ34" s="17"/>
      <c r="CA34" s="17" t="s">
        <v>156</v>
      </c>
      <c r="CB34" s="17" t="s">
        <v>394</v>
      </c>
      <c r="CC34" s="17" t="s">
        <v>395</v>
      </c>
      <c r="CD34" s="17" t="s">
        <v>396</v>
      </c>
      <c r="CE34" s="17"/>
      <c r="CF34" s="17" t="s">
        <v>91</v>
      </c>
    </row>
    <row r="35" spans="1:84" ht="15" x14ac:dyDescent="0.2">
      <c r="A35" s="17" t="s">
        <v>225</v>
      </c>
      <c r="B35" s="18">
        <v>47131449</v>
      </c>
      <c r="C35" s="19">
        <v>45418.638888888891</v>
      </c>
      <c r="D35" s="17" t="s">
        <v>397</v>
      </c>
      <c r="E35" s="17" t="s">
        <v>145</v>
      </c>
      <c r="F35" s="23"/>
      <c r="G35" s="21">
        <v>599</v>
      </c>
      <c r="H35" s="21">
        <v>625.42999999999995</v>
      </c>
      <c r="I35" s="21">
        <v>26.43</v>
      </c>
      <c r="J35" s="17" t="s">
        <v>97</v>
      </c>
      <c r="K35" s="22">
        <v>34155</v>
      </c>
      <c r="L35" s="18">
        <v>30</v>
      </c>
      <c r="M35" s="17" t="s">
        <v>171</v>
      </c>
      <c r="N35" s="17" t="s">
        <v>162</v>
      </c>
      <c r="O35" s="18">
        <v>10023</v>
      </c>
      <c r="P35" s="17" t="s">
        <v>86</v>
      </c>
      <c r="Q35" s="17" t="s">
        <v>87</v>
      </c>
      <c r="R35" s="17" t="s">
        <v>88</v>
      </c>
      <c r="S35" s="17" t="s">
        <v>94</v>
      </c>
      <c r="T35" s="17"/>
      <c r="U35" s="17" t="s">
        <v>151</v>
      </c>
      <c r="V35" s="20"/>
      <c r="W35" s="17"/>
      <c r="X35" s="17"/>
      <c r="Y35" s="17" t="s">
        <v>106</v>
      </c>
      <c r="Z35" s="20"/>
      <c r="AA35" s="17"/>
      <c r="AB35" s="17"/>
      <c r="AC35" s="17"/>
      <c r="AD35" s="17" t="s">
        <v>91</v>
      </c>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t="s">
        <v>91</v>
      </c>
      <c r="BL35" s="17"/>
      <c r="BM35" s="17"/>
      <c r="BN35" s="17"/>
      <c r="BO35" s="17"/>
      <c r="BP35" s="17"/>
      <c r="BQ35" s="17"/>
      <c r="BR35" s="17" t="s">
        <v>91</v>
      </c>
      <c r="BS35" s="17" t="s">
        <v>91</v>
      </c>
      <c r="BT35" s="17"/>
      <c r="BU35" s="17" t="s">
        <v>398</v>
      </c>
      <c r="BV35" s="17"/>
      <c r="BW35" s="17"/>
      <c r="BX35" s="17"/>
      <c r="BY35" s="17" t="s">
        <v>92</v>
      </c>
      <c r="BZ35" s="17"/>
      <c r="CA35" s="17" t="s">
        <v>92</v>
      </c>
      <c r="CB35" s="17" t="s">
        <v>101</v>
      </c>
      <c r="CC35" s="17" t="s">
        <v>399</v>
      </c>
      <c r="CD35" s="17" t="s">
        <v>172</v>
      </c>
      <c r="CE35" s="17"/>
      <c r="CF35" s="17" t="s">
        <v>91</v>
      </c>
    </row>
    <row r="36" spans="1:84" ht="15" x14ac:dyDescent="0.2">
      <c r="A36" s="17" t="s">
        <v>225</v>
      </c>
      <c r="B36" s="18">
        <v>48425090</v>
      </c>
      <c r="C36" s="19">
        <v>45377.933333333334</v>
      </c>
      <c r="D36" s="17" t="s">
        <v>400</v>
      </c>
      <c r="E36" s="17" t="s">
        <v>168</v>
      </c>
      <c r="F36" s="17" t="s">
        <v>401</v>
      </c>
      <c r="G36" s="21">
        <v>0</v>
      </c>
      <c r="H36" s="21">
        <v>0</v>
      </c>
      <c r="I36" s="21">
        <v>0</v>
      </c>
      <c r="J36" s="17" t="s">
        <v>84</v>
      </c>
      <c r="K36" s="22">
        <v>34654</v>
      </c>
      <c r="L36" s="18">
        <v>29</v>
      </c>
      <c r="M36" s="17" t="s">
        <v>166</v>
      </c>
      <c r="N36" s="17" t="s">
        <v>167</v>
      </c>
      <c r="O36" s="18">
        <v>2215</v>
      </c>
      <c r="P36" s="17" t="s">
        <v>86</v>
      </c>
      <c r="Q36" s="17" t="s">
        <v>87</v>
      </c>
      <c r="R36" s="17" t="s">
        <v>88</v>
      </c>
      <c r="S36" s="17" t="s">
        <v>94</v>
      </c>
      <c r="T36" s="17"/>
      <c r="U36" s="17" t="s">
        <v>161</v>
      </c>
      <c r="V36" s="17"/>
      <c r="W36" s="17"/>
      <c r="X36" s="17"/>
      <c r="Y36" s="17" t="s">
        <v>95</v>
      </c>
      <c r="Z36" s="17"/>
      <c r="AA36" s="17" t="s">
        <v>91</v>
      </c>
      <c r="AB36" s="17" t="s">
        <v>91</v>
      </c>
      <c r="AC36" s="17" t="s">
        <v>91</v>
      </c>
      <c r="AD36" s="17"/>
      <c r="AE36" s="17"/>
      <c r="AF36" s="17"/>
      <c r="AG36" s="17"/>
      <c r="AH36" s="17"/>
      <c r="AI36" s="17"/>
      <c r="AJ36" s="17" t="s">
        <v>91</v>
      </c>
      <c r="AK36" s="17"/>
      <c r="AL36" s="17" t="s">
        <v>91</v>
      </c>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t="s">
        <v>91</v>
      </c>
      <c r="BT36" s="17"/>
      <c r="BU36" s="17" t="s">
        <v>329</v>
      </c>
      <c r="BV36" s="20"/>
      <c r="BW36" s="20"/>
      <c r="BX36" s="17"/>
      <c r="BY36" s="17" t="s">
        <v>92</v>
      </c>
      <c r="BZ36" s="17"/>
      <c r="CA36" s="17" t="s">
        <v>148</v>
      </c>
      <c r="CB36" s="20"/>
      <c r="CC36" s="17"/>
      <c r="CD36" s="17"/>
      <c r="CE36" s="17"/>
      <c r="CF36" s="17" t="s">
        <v>91</v>
      </c>
    </row>
    <row r="37" spans="1:84" ht="15" x14ac:dyDescent="0.2">
      <c r="A37" s="17" t="s">
        <v>225</v>
      </c>
      <c r="B37" s="18">
        <v>46948780</v>
      </c>
      <c r="C37" s="19">
        <v>45446.396527777775</v>
      </c>
      <c r="D37" s="17" t="s">
        <v>402</v>
      </c>
      <c r="E37" s="17" t="s">
        <v>154</v>
      </c>
      <c r="F37" s="17" t="s">
        <v>113</v>
      </c>
      <c r="G37" s="21">
        <v>825</v>
      </c>
      <c r="H37" s="21">
        <v>0</v>
      </c>
      <c r="I37" s="21">
        <v>0</v>
      </c>
      <c r="J37" s="17" t="s">
        <v>84</v>
      </c>
      <c r="K37" s="22">
        <v>34258</v>
      </c>
      <c r="L37" s="18">
        <v>30</v>
      </c>
      <c r="M37" s="17" t="s">
        <v>171</v>
      </c>
      <c r="N37" s="17" t="s">
        <v>162</v>
      </c>
      <c r="O37" s="18">
        <v>10001</v>
      </c>
      <c r="P37" s="17" t="s">
        <v>86</v>
      </c>
      <c r="Q37" s="17" t="s">
        <v>87</v>
      </c>
      <c r="R37" s="17" t="s">
        <v>88</v>
      </c>
      <c r="S37" s="17" t="s">
        <v>114</v>
      </c>
      <c r="T37" s="17"/>
      <c r="U37" s="17"/>
      <c r="V37" s="17" t="s">
        <v>91</v>
      </c>
      <c r="W37" s="17" t="s">
        <v>152</v>
      </c>
      <c r="X37" s="17"/>
      <c r="Y37" s="17" t="s">
        <v>95</v>
      </c>
      <c r="Z37" s="17"/>
      <c r="AA37" s="17" t="s">
        <v>91</v>
      </c>
      <c r="AB37" s="17" t="s">
        <v>91</v>
      </c>
      <c r="AC37" s="17" t="s">
        <v>91</v>
      </c>
      <c r="AD37" s="17" t="s">
        <v>91</v>
      </c>
      <c r="AE37" s="17" t="s">
        <v>91</v>
      </c>
      <c r="AF37" s="17"/>
      <c r="AG37" s="17" t="s">
        <v>91</v>
      </c>
      <c r="AH37" s="17"/>
      <c r="AI37" s="17" t="s">
        <v>91</v>
      </c>
      <c r="AJ37" s="17"/>
      <c r="AK37" s="17" t="s">
        <v>91</v>
      </c>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t="s">
        <v>91</v>
      </c>
      <c r="BU37" s="17"/>
      <c r="BV37" s="17"/>
      <c r="BW37" s="17"/>
      <c r="BX37" s="17"/>
      <c r="BY37" s="17" t="s">
        <v>92</v>
      </c>
      <c r="BZ37" s="17"/>
      <c r="CA37" s="17" t="s">
        <v>148</v>
      </c>
      <c r="CB37" s="17" t="s">
        <v>120</v>
      </c>
      <c r="CC37" s="17" t="s">
        <v>403</v>
      </c>
      <c r="CD37" s="17" t="s">
        <v>404</v>
      </c>
      <c r="CE37" s="17"/>
      <c r="CF37" s="17" t="s">
        <v>91</v>
      </c>
    </row>
    <row r="38" spans="1:84" ht="15" x14ac:dyDescent="0.2">
      <c r="A38" s="17" t="s">
        <v>225</v>
      </c>
      <c r="B38" s="18">
        <v>49239445</v>
      </c>
      <c r="C38" s="19">
        <v>45412.744444444441</v>
      </c>
      <c r="D38" s="17" t="s">
        <v>405</v>
      </c>
      <c r="E38" s="17" t="s">
        <v>168</v>
      </c>
      <c r="F38" s="23"/>
      <c r="G38" s="21">
        <v>725</v>
      </c>
      <c r="H38" s="21">
        <v>758</v>
      </c>
      <c r="I38" s="21">
        <v>33</v>
      </c>
      <c r="J38" s="17" t="s">
        <v>84</v>
      </c>
      <c r="K38" s="22">
        <v>35629</v>
      </c>
      <c r="L38" s="18">
        <v>26</v>
      </c>
      <c r="M38" s="17" t="s">
        <v>175</v>
      </c>
      <c r="N38" s="17" t="s">
        <v>167</v>
      </c>
      <c r="O38" s="18">
        <v>2143</v>
      </c>
      <c r="P38" s="17" t="s">
        <v>86</v>
      </c>
      <c r="Q38" s="17" t="s">
        <v>87</v>
      </c>
      <c r="R38" s="17" t="s">
        <v>98</v>
      </c>
      <c r="S38" s="17" t="s">
        <v>94</v>
      </c>
      <c r="T38" s="17"/>
      <c r="U38" s="17" t="s">
        <v>159</v>
      </c>
      <c r="V38" s="20"/>
      <c r="W38" s="17"/>
      <c r="X38" s="17" t="s">
        <v>122</v>
      </c>
      <c r="Y38" s="17" t="s">
        <v>95</v>
      </c>
      <c r="Z38" s="17"/>
      <c r="AA38" s="17"/>
      <c r="AB38" s="17"/>
      <c r="AC38" s="17"/>
      <c r="AD38" s="17" t="s">
        <v>91</v>
      </c>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t="s">
        <v>91</v>
      </c>
      <c r="BK38" s="17" t="s">
        <v>91</v>
      </c>
      <c r="BL38" s="17"/>
      <c r="BM38" s="17"/>
      <c r="BN38" s="17" t="s">
        <v>91</v>
      </c>
      <c r="BO38" s="17"/>
      <c r="BP38" s="17" t="s">
        <v>91</v>
      </c>
      <c r="BQ38" s="17"/>
      <c r="BR38" s="17"/>
      <c r="BS38" s="17"/>
      <c r="BT38" s="17" t="s">
        <v>91</v>
      </c>
      <c r="BU38" s="17"/>
      <c r="BV38" s="17"/>
      <c r="BW38" s="17" t="s">
        <v>406</v>
      </c>
      <c r="BX38" s="20"/>
      <c r="BY38" s="17" t="s">
        <v>92</v>
      </c>
      <c r="BZ38" s="17"/>
      <c r="CA38" s="17" t="s">
        <v>148</v>
      </c>
      <c r="CB38" s="17" t="s">
        <v>407</v>
      </c>
      <c r="CC38" s="20"/>
      <c r="CD38" s="17"/>
      <c r="CE38" s="17"/>
      <c r="CF38" s="17" t="s">
        <v>91</v>
      </c>
    </row>
    <row r="39" spans="1:84" ht="15" x14ac:dyDescent="0.2">
      <c r="A39" s="17" t="s">
        <v>225</v>
      </c>
      <c r="B39" s="18">
        <v>48214993</v>
      </c>
      <c r="C39" s="19">
        <v>45377.905555555553</v>
      </c>
      <c r="D39" s="17" t="s">
        <v>408</v>
      </c>
      <c r="E39" s="17" t="s">
        <v>145</v>
      </c>
      <c r="F39" s="20"/>
      <c r="G39" s="21">
        <v>599</v>
      </c>
      <c r="H39" s="21">
        <v>627.21</v>
      </c>
      <c r="I39" s="21">
        <v>28.21</v>
      </c>
      <c r="J39" s="17" t="s">
        <v>84</v>
      </c>
      <c r="K39" s="22">
        <v>35115</v>
      </c>
      <c r="L39" s="18">
        <v>28</v>
      </c>
      <c r="M39" s="17" t="s">
        <v>409</v>
      </c>
      <c r="N39" s="17" t="s">
        <v>215</v>
      </c>
      <c r="O39" s="18">
        <v>23455</v>
      </c>
      <c r="P39" s="17" t="s">
        <v>86</v>
      </c>
      <c r="Q39" s="17" t="s">
        <v>87</v>
      </c>
      <c r="R39" s="17" t="s">
        <v>88</v>
      </c>
      <c r="S39" s="17" t="s">
        <v>119</v>
      </c>
      <c r="T39" s="17"/>
      <c r="U39" s="17" t="s">
        <v>161</v>
      </c>
      <c r="V39" s="17"/>
      <c r="W39" s="17"/>
      <c r="X39" s="17"/>
      <c r="Y39" s="17" t="s">
        <v>103</v>
      </c>
      <c r="Z39" s="20"/>
      <c r="AA39" s="17"/>
      <c r="AB39" s="17"/>
      <c r="AC39" s="17"/>
      <c r="AD39" s="17" t="s">
        <v>91</v>
      </c>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t="s">
        <v>91</v>
      </c>
      <c r="BQ39" s="17"/>
      <c r="BR39" s="17" t="s">
        <v>91</v>
      </c>
      <c r="BS39" s="17" t="s">
        <v>91</v>
      </c>
      <c r="BT39" s="17"/>
      <c r="BU39" s="17" t="s">
        <v>410</v>
      </c>
      <c r="BV39" s="17"/>
      <c r="BW39" s="17" t="s">
        <v>411</v>
      </c>
      <c r="BX39" s="17"/>
      <c r="BY39" s="17" t="s">
        <v>92</v>
      </c>
      <c r="BZ39" s="17"/>
      <c r="CA39" s="17" t="s">
        <v>156</v>
      </c>
      <c r="CB39" s="17"/>
      <c r="CC39" s="17"/>
      <c r="CD39" s="17"/>
      <c r="CE39" s="17"/>
      <c r="CF39" s="17" t="s">
        <v>91</v>
      </c>
    </row>
    <row r="40" spans="1:84" ht="15" x14ac:dyDescent="0.2">
      <c r="A40" s="17" t="s">
        <v>225</v>
      </c>
      <c r="B40" s="18">
        <v>46947933</v>
      </c>
      <c r="C40" s="19">
        <v>45378.599305555559</v>
      </c>
      <c r="D40" s="17" t="s">
        <v>412</v>
      </c>
      <c r="E40" s="17" t="s">
        <v>145</v>
      </c>
      <c r="F40" s="17" t="s">
        <v>113</v>
      </c>
      <c r="G40" s="21">
        <v>599</v>
      </c>
      <c r="H40" s="21">
        <v>0</v>
      </c>
      <c r="I40" s="21">
        <v>0</v>
      </c>
      <c r="J40" s="17" t="s">
        <v>97</v>
      </c>
      <c r="K40" s="22">
        <v>31437</v>
      </c>
      <c r="L40" s="18">
        <v>38</v>
      </c>
      <c r="M40" s="17" t="s">
        <v>413</v>
      </c>
      <c r="N40" s="17" t="s">
        <v>184</v>
      </c>
      <c r="O40" s="18">
        <v>6043</v>
      </c>
      <c r="P40" s="17" t="s">
        <v>86</v>
      </c>
      <c r="Q40" s="17" t="s">
        <v>87</v>
      </c>
      <c r="R40" s="17" t="s">
        <v>88</v>
      </c>
      <c r="S40" s="17" t="s">
        <v>94</v>
      </c>
      <c r="T40" s="17"/>
      <c r="U40" s="17" t="s">
        <v>151</v>
      </c>
      <c r="V40" s="20"/>
      <c r="W40" s="17"/>
      <c r="X40" s="17" t="s">
        <v>414</v>
      </c>
      <c r="Y40" s="17" t="s">
        <v>100</v>
      </c>
      <c r="Z40" s="17"/>
      <c r="AA40" s="17" t="s">
        <v>91</v>
      </c>
      <c r="AB40" s="17" t="s">
        <v>91</v>
      </c>
      <c r="AC40" s="17" t="s">
        <v>91</v>
      </c>
      <c r="AD40" s="17"/>
      <c r="AE40" s="17"/>
      <c r="AF40" s="17"/>
      <c r="AG40" s="17"/>
      <c r="AH40" s="17"/>
      <c r="AI40" s="17"/>
      <c r="AJ40" s="17"/>
      <c r="AK40" s="17"/>
      <c r="AL40" s="17" t="s">
        <v>91</v>
      </c>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t="s">
        <v>91</v>
      </c>
      <c r="BS40" s="17" t="s">
        <v>91</v>
      </c>
      <c r="BT40" s="17"/>
      <c r="BU40" s="17" t="s">
        <v>415</v>
      </c>
      <c r="BV40" s="17"/>
      <c r="BW40" s="17"/>
      <c r="BX40" s="17"/>
      <c r="BY40" s="17" t="s">
        <v>92</v>
      </c>
      <c r="BZ40" s="17"/>
      <c r="CA40" s="17" t="s">
        <v>92</v>
      </c>
      <c r="CB40" s="17" t="s">
        <v>416</v>
      </c>
      <c r="CC40" s="17" t="s">
        <v>417</v>
      </c>
      <c r="CD40" s="17" t="s">
        <v>418</v>
      </c>
      <c r="CE40" s="17" t="s">
        <v>122</v>
      </c>
      <c r="CF40" s="17" t="s">
        <v>91</v>
      </c>
    </row>
    <row r="41" spans="1:84" ht="15" x14ac:dyDescent="0.2">
      <c r="A41" s="17" t="s">
        <v>225</v>
      </c>
      <c r="B41" s="18">
        <v>46962817</v>
      </c>
      <c r="C41" s="19">
        <v>45377.896527777775</v>
      </c>
      <c r="D41" s="17" t="s">
        <v>202</v>
      </c>
      <c r="E41" s="17" t="s">
        <v>145</v>
      </c>
      <c r="F41" s="17"/>
      <c r="G41" s="21">
        <v>599</v>
      </c>
      <c r="H41" s="21">
        <v>625.13</v>
      </c>
      <c r="I41" s="21">
        <v>26.14</v>
      </c>
      <c r="J41" s="17" t="s">
        <v>97</v>
      </c>
      <c r="K41" s="22">
        <v>30800</v>
      </c>
      <c r="L41" s="18">
        <v>39</v>
      </c>
      <c r="M41" s="17" t="s">
        <v>173</v>
      </c>
      <c r="N41" s="17" t="s">
        <v>162</v>
      </c>
      <c r="O41" s="18">
        <v>11201</v>
      </c>
      <c r="P41" s="17" t="s">
        <v>86</v>
      </c>
      <c r="Q41" s="17" t="s">
        <v>87</v>
      </c>
      <c r="R41" s="17" t="s">
        <v>105</v>
      </c>
      <c r="S41" s="17" t="s">
        <v>94</v>
      </c>
      <c r="T41" s="17"/>
      <c r="U41" s="17" t="s">
        <v>151</v>
      </c>
      <c r="V41" s="20"/>
      <c r="W41" s="17"/>
      <c r="X41" s="17" t="s">
        <v>203</v>
      </c>
      <c r="Y41" s="17" t="s">
        <v>95</v>
      </c>
      <c r="Z41" s="17"/>
      <c r="AA41" s="17"/>
      <c r="AB41" s="17"/>
      <c r="AC41" s="17"/>
      <c r="AD41" s="17" t="s">
        <v>91</v>
      </c>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t="s">
        <v>91</v>
      </c>
      <c r="BM41" s="17"/>
      <c r="BN41" s="17"/>
      <c r="BO41" s="17"/>
      <c r="BP41" s="17"/>
      <c r="BQ41" s="17"/>
      <c r="BR41" s="17"/>
      <c r="BS41" s="17"/>
      <c r="BT41" s="17" t="s">
        <v>91</v>
      </c>
      <c r="BU41" s="17"/>
      <c r="BV41" s="17" t="s">
        <v>204</v>
      </c>
      <c r="BW41" s="17"/>
      <c r="BX41" s="17"/>
      <c r="BY41" s="17" t="s">
        <v>92</v>
      </c>
      <c r="BZ41" s="17"/>
      <c r="CA41" s="17" t="s">
        <v>92</v>
      </c>
      <c r="CB41" s="17" t="s">
        <v>205</v>
      </c>
      <c r="CC41" s="17" t="s">
        <v>206</v>
      </c>
      <c r="CD41" s="17" t="s">
        <v>207</v>
      </c>
      <c r="CE41" s="17"/>
      <c r="CF41" s="17" t="s">
        <v>91</v>
      </c>
    </row>
    <row r="42" spans="1:84" ht="15" x14ac:dyDescent="0.2">
      <c r="A42" s="17" t="s">
        <v>225</v>
      </c>
      <c r="B42" s="18">
        <v>46947649</v>
      </c>
      <c r="C42" s="19">
        <v>45376.509722222225</v>
      </c>
      <c r="D42" s="17" t="s">
        <v>199</v>
      </c>
      <c r="E42" s="17" t="s">
        <v>157</v>
      </c>
      <c r="F42" s="20"/>
      <c r="G42" s="21">
        <v>895</v>
      </c>
      <c r="H42" s="21">
        <v>931.49</v>
      </c>
      <c r="I42" s="21">
        <v>36.5</v>
      </c>
      <c r="J42" s="17" t="s">
        <v>84</v>
      </c>
      <c r="K42" s="22">
        <v>31304</v>
      </c>
      <c r="L42" s="18">
        <v>38</v>
      </c>
      <c r="M42" s="17" t="s">
        <v>419</v>
      </c>
      <c r="N42" s="17" t="s">
        <v>167</v>
      </c>
      <c r="O42" s="18">
        <v>2493</v>
      </c>
      <c r="P42" s="17" t="s">
        <v>86</v>
      </c>
      <c r="Q42" s="17" t="s">
        <v>87</v>
      </c>
      <c r="R42" s="17" t="s">
        <v>98</v>
      </c>
      <c r="S42" s="17" t="s">
        <v>94</v>
      </c>
      <c r="T42" s="17"/>
      <c r="U42" s="17"/>
      <c r="V42" s="17"/>
      <c r="W42" s="17"/>
      <c r="X42" s="17"/>
      <c r="Y42" s="17" t="s">
        <v>103</v>
      </c>
      <c r="Z42" s="20"/>
      <c r="AA42" s="17" t="s">
        <v>91</v>
      </c>
      <c r="AB42" s="17"/>
      <c r="AC42" s="17"/>
      <c r="AD42" s="17"/>
      <c r="AE42" s="17"/>
      <c r="AF42" s="17"/>
      <c r="AG42" s="17"/>
      <c r="AH42" s="17"/>
      <c r="AI42" s="17"/>
      <c r="AJ42" s="17"/>
      <c r="AK42" s="17"/>
      <c r="AL42" s="17" t="s">
        <v>91</v>
      </c>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t="s">
        <v>91</v>
      </c>
      <c r="BT42" s="17"/>
      <c r="BU42" s="17" t="s">
        <v>200</v>
      </c>
      <c r="BV42" s="17"/>
      <c r="BW42" s="17"/>
      <c r="BX42" s="17"/>
      <c r="BY42" s="17" t="s">
        <v>91</v>
      </c>
      <c r="BZ42" s="17" t="s">
        <v>420</v>
      </c>
      <c r="CA42" s="17" t="s">
        <v>148</v>
      </c>
      <c r="CB42" s="17" t="s">
        <v>201</v>
      </c>
      <c r="CC42" s="17" t="s">
        <v>421</v>
      </c>
      <c r="CD42" s="20"/>
      <c r="CE42" s="17"/>
      <c r="CF42" s="17" t="s">
        <v>91</v>
      </c>
    </row>
    <row r="43" spans="1:84" ht="15" x14ac:dyDescent="0.2">
      <c r="A43" s="17" t="s">
        <v>225</v>
      </c>
      <c r="B43" s="18">
        <v>46905707</v>
      </c>
      <c r="C43" s="19">
        <v>45412.709722222222</v>
      </c>
      <c r="D43" s="17" t="s">
        <v>422</v>
      </c>
      <c r="E43" s="17" t="s">
        <v>154</v>
      </c>
      <c r="F43" s="17" t="s">
        <v>113</v>
      </c>
      <c r="G43" s="21">
        <v>825</v>
      </c>
      <c r="H43" s="21">
        <v>0</v>
      </c>
      <c r="I43" s="21">
        <v>0</v>
      </c>
      <c r="J43" s="17" t="s">
        <v>97</v>
      </c>
      <c r="K43" s="22">
        <v>36298</v>
      </c>
      <c r="L43" s="18">
        <v>24</v>
      </c>
      <c r="M43" s="17" t="s">
        <v>423</v>
      </c>
      <c r="N43" s="17" t="s">
        <v>167</v>
      </c>
      <c r="O43" s="18">
        <v>1701</v>
      </c>
      <c r="P43" s="17" t="s">
        <v>86</v>
      </c>
      <c r="Q43" s="17" t="s">
        <v>87</v>
      </c>
      <c r="R43" s="17" t="s">
        <v>105</v>
      </c>
      <c r="S43" s="17" t="s">
        <v>94</v>
      </c>
      <c r="T43" s="17"/>
      <c r="U43" s="17"/>
      <c r="V43" s="17" t="s">
        <v>91</v>
      </c>
      <c r="W43" s="17" t="s">
        <v>424</v>
      </c>
      <c r="X43" s="20"/>
      <c r="Y43" s="17" t="s">
        <v>106</v>
      </c>
      <c r="Z43" s="20"/>
      <c r="AA43" s="17" t="s">
        <v>91</v>
      </c>
      <c r="AB43" s="17" t="s">
        <v>91</v>
      </c>
      <c r="AC43" s="17" t="s">
        <v>91</v>
      </c>
      <c r="AD43" s="17"/>
      <c r="AE43" s="17"/>
      <c r="AF43" s="17"/>
      <c r="AG43" s="17"/>
      <c r="AH43" s="17" t="s">
        <v>91</v>
      </c>
      <c r="AI43" s="17"/>
      <c r="AJ43" s="17" t="s">
        <v>91</v>
      </c>
      <c r="AK43" s="17"/>
      <c r="AL43" s="17" t="s">
        <v>91</v>
      </c>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t="s">
        <v>91</v>
      </c>
      <c r="BS43" s="17"/>
      <c r="BT43" s="17"/>
      <c r="BU43" s="17" t="s">
        <v>425</v>
      </c>
      <c r="BV43" s="17"/>
      <c r="BW43" s="17"/>
      <c r="BX43" s="17"/>
      <c r="BY43" s="17" t="s">
        <v>91</v>
      </c>
      <c r="BZ43" s="17" t="s">
        <v>426</v>
      </c>
      <c r="CA43" s="17" t="s">
        <v>92</v>
      </c>
      <c r="CB43" s="17" t="s">
        <v>126</v>
      </c>
      <c r="CC43" s="17" t="s">
        <v>427</v>
      </c>
      <c r="CD43" s="17" t="s">
        <v>428</v>
      </c>
      <c r="CE43" s="20"/>
      <c r="CF43" s="17" t="s">
        <v>91</v>
      </c>
    </row>
    <row r="44" spans="1:84" ht="15" x14ac:dyDescent="0.2">
      <c r="A44" s="17" t="s">
        <v>225</v>
      </c>
      <c r="B44" s="18">
        <v>48213316</v>
      </c>
      <c r="C44" s="19">
        <v>45377.648611111108</v>
      </c>
      <c r="D44" s="17" t="s">
        <v>429</v>
      </c>
      <c r="E44" s="17" t="s">
        <v>145</v>
      </c>
      <c r="F44" s="17" t="s">
        <v>430</v>
      </c>
      <c r="G44" s="21">
        <v>599</v>
      </c>
      <c r="H44" s="21">
        <v>0</v>
      </c>
      <c r="I44" s="21">
        <v>0</v>
      </c>
      <c r="J44" s="17" t="s">
        <v>97</v>
      </c>
      <c r="K44" s="22">
        <v>35469</v>
      </c>
      <c r="L44" s="18">
        <v>27</v>
      </c>
      <c r="M44" s="17" t="s">
        <v>431</v>
      </c>
      <c r="N44" s="17" t="s">
        <v>125</v>
      </c>
      <c r="O44" s="18">
        <v>7950</v>
      </c>
      <c r="P44" s="17" t="s">
        <v>86</v>
      </c>
      <c r="Q44" s="17" t="s">
        <v>87</v>
      </c>
      <c r="R44" s="17" t="s">
        <v>88</v>
      </c>
      <c r="S44" s="17" t="s">
        <v>94</v>
      </c>
      <c r="T44" s="17"/>
      <c r="U44" s="17" t="s">
        <v>159</v>
      </c>
      <c r="V44" s="20"/>
      <c r="W44" s="17"/>
      <c r="X44" s="17"/>
      <c r="Y44" s="17" t="s">
        <v>103</v>
      </c>
      <c r="Z44" s="20"/>
      <c r="AA44" s="17" t="s">
        <v>91</v>
      </c>
      <c r="AB44" s="17" t="s">
        <v>91</v>
      </c>
      <c r="AC44" s="17" t="s">
        <v>91</v>
      </c>
      <c r="AD44" s="17"/>
      <c r="AE44" s="17"/>
      <c r="AF44" s="17"/>
      <c r="AG44" s="17"/>
      <c r="AH44" s="17" t="s">
        <v>91</v>
      </c>
      <c r="AI44" s="17"/>
      <c r="AJ44" s="17" t="s">
        <v>91</v>
      </c>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t="s">
        <v>91</v>
      </c>
      <c r="BS44" s="17" t="s">
        <v>91</v>
      </c>
      <c r="BT44" s="17"/>
      <c r="BU44" s="17" t="s">
        <v>432</v>
      </c>
      <c r="BV44" s="20"/>
      <c r="BW44" s="20"/>
      <c r="BX44" s="17"/>
      <c r="BY44" s="17" t="s">
        <v>92</v>
      </c>
      <c r="BZ44" s="17"/>
      <c r="CA44" s="17" t="s">
        <v>92</v>
      </c>
      <c r="CB44" s="17" t="s">
        <v>433</v>
      </c>
      <c r="CC44" s="17" t="s">
        <v>434</v>
      </c>
      <c r="CD44" s="17" t="s">
        <v>435</v>
      </c>
      <c r="CE44" s="20"/>
      <c r="CF44" s="17" t="s">
        <v>91</v>
      </c>
    </row>
    <row r="45" spans="1:84" ht="15" x14ac:dyDescent="0.2">
      <c r="A45" s="17" t="s">
        <v>225</v>
      </c>
      <c r="B45" s="18">
        <v>46938510</v>
      </c>
      <c r="C45" s="19">
        <v>45435.60833333333</v>
      </c>
      <c r="D45" s="17" t="s">
        <v>163</v>
      </c>
      <c r="E45" s="17" t="s">
        <v>145</v>
      </c>
      <c r="F45" s="17" t="s">
        <v>113</v>
      </c>
      <c r="G45" s="21">
        <v>599</v>
      </c>
      <c r="H45" s="21">
        <v>0</v>
      </c>
      <c r="I45" s="21">
        <v>0</v>
      </c>
      <c r="J45" s="17" t="s">
        <v>84</v>
      </c>
      <c r="K45" s="22">
        <v>34100</v>
      </c>
      <c r="L45" s="18">
        <v>30</v>
      </c>
      <c r="M45" s="17" t="s">
        <v>213</v>
      </c>
      <c r="N45" s="17" t="s">
        <v>214</v>
      </c>
      <c r="O45" s="18" t="s">
        <v>436</v>
      </c>
      <c r="P45" s="17" t="s">
        <v>86</v>
      </c>
      <c r="Q45" s="17" t="s">
        <v>87</v>
      </c>
      <c r="R45" s="17" t="s">
        <v>88</v>
      </c>
      <c r="S45" s="17" t="s">
        <v>94</v>
      </c>
      <c r="T45" s="17"/>
      <c r="U45" s="17" t="s">
        <v>161</v>
      </c>
      <c r="V45" s="17"/>
      <c r="W45" s="17"/>
      <c r="X45" s="17"/>
      <c r="Y45" s="17" t="s">
        <v>103</v>
      </c>
      <c r="Z45" s="20"/>
      <c r="AA45" s="17" t="s">
        <v>91</v>
      </c>
      <c r="AB45" s="17"/>
      <c r="AC45" s="17"/>
      <c r="AD45" s="17"/>
      <c r="AE45" s="17"/>
      <c r="AF45" s="17"/>
      <c r="AG45" s="17"/>
      <c r="AH45" s="17"/>
      <c r="AI45" s="17"/>
      <c r="AJ45" s="17"/>
      <c r="AK45" s="17" t="s">
        <v>91</v>
      </c>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t="s">
        <v>91</v>
      </c>
      <c r="BS45" s="17" t="s">
        <v>91</v>
      </c>
      <c r="BT45" s="17"/>
      <c r="BU45" s="17" t="s">
        <v>437</v>
      </c>
      <c r="BV45" s="17"/>
      <c r="BW45" s="17"/>
      <c r="BX45" s="17"/>
      <c r="BY45" s="17" t="s">
        <v>92</v>
      </c>
      <c r="BZ45" s="17"/>
      <c r="CA45" s="17" t="s">
        <v>148</v>
      </c>
      <c r="CB45" s="17" t="s">
        <v>438</v>
      </c>
      <c r="CC45" s="17" t="s">
        <v>439</v>
      </c>
      <c r="CD45" s="17" t="s">
        <v>102</v>
      </c>
      <c r="CE45" s="17"/>
      <c r="CF45" s="17" t="s">
        <v>91</v>
      </c>
    </row>
    <row r="46" spans="1:84" ht="15" x14ac:dyDescent="0.2">
      <c r="A46" s="17" t="s">
        <v>225</v>
      </c>
      <c r="B46" s="18">
        <v>48930878</v>
      </c>
      <c r="C46" s="19">
        <v>45415.801388888889</v>
      </c>
      <c r="D46" s="17" t="s">
        <v>163</v>
      </c>
      <c r="E46" s="17" t="s">
        <v>168</v>
      </c>
      <c r="F46" s="23"/>
      <c r="G46" s="21">
        <v>725</v>
      </c>
      <c r="H46" s="21">
        <v>758</v>
      </c>
      <c r="I46" s="21">
        <v>0</v>
      </c>
      <c r="J46" s="17" t="s">
        <v>97</v>
      </c>
      <c r="K46" s="22">
        <v>33113</v>
      </c>
      <c r="L46" s="18">
        <v>33</v>
      </c>
      <c r="M46" s="17" t="s">
        <v>146</v>
      </c>
      <c r="N46" s="17" t="s">
        <v>115</v>
      </c>
      <c r="O46" s="18">
        <v>60640</v>
      </c>
      <c r="P46" s="17" t="s">
        <v>86</v>
      </c>
      <c r="Q46" s="17" t="s">
        <v>87</v>
      </c>
      <c r="R46" s="17" t="s">
        <v>108</v>
      </c>
      <c r="S46" s="17" t="s">
        <v>89</v>
      </c>
      <c r="T46" s="17"/>
      <c r="U46" s="17" t="s">
        <v>151</v>
      </c>
      <c r="V46" s="20"/>
      <c r="W46" s="17"/>
      <c r="X46" s="17" t="s">
        <v>143</v>
      </c>
      <c r="Y46" s="17" t="s">
        <v>103</v>
      </c>
      <c r="Z46" s="20"/>
      <c r="AA46" s="17"/>
      <c r="AB46" s="17"/>
      <c r="AC46" s="17"/>
      <c r="AD46" s="17" t="s">
        <v>91</v>
      </c>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t="s">
        <v>91</v>
      </c>
      <c r="BI46" s="17"/>
      <c r="BJ46" s="17"/>
      <c r="BK46" s="17"/>
      <c r="BL46" s="17"/>
      <c r="BM46" s="17"/>
      <c r="BN46" s="17"/>
      <c r="BO46" s="17"/>
      <c r="BP46" s="17"/>
      <c r="BQ46" s="17"/>
      <c r="BR46" s="17"/>
      <c r="BS46" s="17"/>
      <c r="BT46" s="17" t="s">
        <v>91</v>
      </c>
      <c r="BU46" s="17"/>
      <c r="BV46" s="17"/>
      <c r="BW46" s="17"/>
      <c r="BX46" s="17"/>
      <c r="BY46" s="17" t="s">
        <v>92</v>
      </c>
      <c r="BZ46" s="17"/>
      <c r="CA46" s="17" t="s">
        <v>148</v>
      </c>
      <c r="CB46" s="17" t="s">
        <v>440</v>
      </c>
      <c r="CC46" s="17" t="s">
        <v>441</v>
      </c>
      <c r="CD46" s="17" t="s">
        <v>442</v>
      </c>
      <c r="CE46" s="17" t="s">
        <v>143</v>
      </c>
      <c r="CF46" s="17" t="s">
        <v>91</v>
      </c>
    </row>
    <row r="47" spans="1:84" ht="15" x14ac:dyDescent="0.2">
      <c r="A47" s="17" t="s">
        <v>225</v>
      </c>
      <c r="B47" s="18">
        <v>48332178</v>
      </c>
      <c r="C47" s="19">
        <v>45378.503472222219</v>
      </c>
      <c r="D47" s="17" t="s">
        <v>191</v>
      </c>
      <c r="E47" s="17" t="s">
        <v>145</v>
      </c>
      <c r="F47" s="23"/>
      <c r="G47" s="21">
        <v>599</v>
      </c>
      <c r="H47" s="21">
        <v>625.42999999999995</v>
      </c>
      <c r="I47" s="21">
        <v>26.43</v>
      </c>
      <c r="J47" s="17" t="s">
        <v>84</v>
      </c>
      <c r="K47" s="22">
        <v>32736</v>
      </c>
      <c r="L47" s="18">
        <v>34</v>
      </c>
      <c r="M47" s="17" t="s">
        <v>182</v>
      </c>
      <c r="N47" s="17" t="s">
        <v>162</v>
      </c>
      <c r="O47" s="18">
        <v>10960</v>
      </c>
      <c r="P47" s="17" t="s">
        <v>86</v>
      </c>
      <c r="Q47" s="17" t="s">
        <v>87</v>
      </c>
      <c r="R47" s="17" t="s">
        <v>88</v>
      </c>
      <c r="S47" s="17" t="s">
        <v>99</v>
      </c>
      <c r="T47" s="17" t="s">
        <v>443</v>
      </c>
      <c r="U47" s="17" t="s">
        <v>159</v>
      </c>
      <c r="V47" s="20"/>
      <c r="W47" s="17"/>
      <c r="X47" s="17"/>
      <c r="Y47" s="17" t="s">
        <v>95</v>
      </c>
      <c r="Z47" s="17"/>
      <c r="AA47" s="17"/>
      <c r="AB47" s="17" t="s">
        <v>91</v>
      </c>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t="s">
        <v>91</v>
      </c>
      <c r="BI47" s="17"/>
      <c r="BJ47" s="17"/>
      <c r="BK47" s="17"/>
      <c r="BL47" s="17"/>
      <c r="BM47" s="17"/>
      <c r="BN47" s="17"/>
      <c r="BO47" s="17"/>
      <c r="BP47" s="17"/>
      <c r="BQ47" s="17"/>
      <c r="BR47" s="17"/>
      <c r="BS47" s="17"/>
      <c r="BT47" s="17" t="s">
        <v>91</v>
      </c>
      <c r="BU47" s="17"/>
      <c r="BV47" s="17"/>
      <c r="BW47" s="17"/>
      <c r="BX47" s="17"/>
      <c r="BY47" s="17" t="s">
        <v>92</v>
      </c>
      <c r="BZ47" s="17"/>
      <c r="CA47" s="17" t="s">
        <v>92</v>
      </c>
      <c r="CB47" s="17" t="s">
        <v>444</v>
      </c>
      <c r="CC47" s="17" t="s">
        <v>445</v>
      </c>
      <c r="CD47" s="17" t="s">
        <v>94</v>
      </c>
      <c r="CE47" s="17"/>
      <c r="CF47" s="17" t="s">
        <v>91</v>
      </c>
    </row>
    <row r="48" spans="1:84" ht="15" x14ac:dyDescent="0.2">
      <c r="A48" s="17" t="s">
        <v>225</v>
      </c>
      <c r="B48" s="18">
        <v>46958407</v>
      </c>
      <c r="C48" s="19">
        <v>45412.988194444442</v>
      </c>
      <c r="D48" s="17" t="s">
        <v>446</v>
      </c>
      <c r="E48" s="17" t="s">
        <v>157</v>
      </c>
      <c r="F48" s="23"/>
      <c r="G48" s="21">
        <v>895</v>
      </c>
      <c r="H48" s="21">
        <v>931.49</v>
      </c>
      <c r="I48" s="21">
        <v>36.5</v>
      </c>
      <c r="J48" s="17" t="s">
        <v>84</v>
      </c>
      <c r="K48" s="22">
        <v>30182</v>
      </c>
      <c r="L48" s="18">
        <v>41</v>
      </c>
      <c r="M48" s="17" t="s">
        <v>447</v>
      </c>
      <c r="N48" s="17" t="s">
        <v>167</v>
      </c>
      <c r="O48" s="18">
        <v>2125</v>
      </c>
      <c r="P48" s="17" t="s">
        <v>86</v>
      </c>
      <c r="Q48" s="17" t="s">
        <v>87</v>
      </c>
      <c r="R48" s="17" t="s">
        <v>98</v>
      </c>
      <c r="S48" s="17" t="s">
        <v>94</v>
      </c>
      <c r="T48" s="17"/>
      <c r="U48" s="17"/>
      <c r="V48" s="17"/>
      <c r="W48" s="17"/>
      <c r="X48" s="17"/>
      <c r="Y48" s="17" t="s">
        <v>100</v>
      </c>
      <c r="Z48" s="17"/>
      <c r="AA48" s="17"/>
      <c r="AB48" s="17" t="s">
        <v>91</v>
      </c>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t="s">
        <v>91</v>
      </c>
      <c r="BK48" s="17"/>
      <c r="BL48" s="17"/>
      <c r="BM48" s="17"/>
      <c r="BN48" s="17"/>
      <c r="BO48" s="17"/>
      <c r="BP48" s="17"/>
      <c r="BQ48" s="17"/>
      <c r="BR48" s="17" t="s">
        <v>91</v>
      </c>
      <c r="BS48" s="17" t="s">
        <v>91</v>
      </c>
      <c r="BT48" s="17"/>
      <c r="BU48" s="17" t="s">
        <v>448</v>
      </c>
      <c r="BV48" s="17"/>
      <c r="BW48" s="17"/>
      <c r="BX48" s="17"/>
      <c r="BY48" s="17" t="s">
        <v>92</v>
      </c>
      <c r="BZ48" s="17"/>
      <c r="CA48" s="17" t="s">
        <v>156</v>
      </c>
      <c r="CB48" s="17" t="s">
        <v>449</v>
      </c>
      <c r="CC48" s="17" t="s">
        <v>450</v>
      </c>
      <c r="CD48" s="17" t="s">
        <v>451</v>
      </c>
      <c r="CE48" s="17" t="s">
        <v>452</v>
      </c>
      <c r="CF48" s="17" t="s">
        <v>91</v>
      </c>
    </row>
    <row r="49" spans="1:84" ht="15" x14ac:dyDescent="0.2">
      <c r="A49" s="17" t="s">
        <v>225</v>
      </c>
      <c r="B49" s="18">
        <v>48225806</v>
      </c>
      <c r="C49" s="19">
        <v>45377.066666666666</v>
      </c>
      <c r="D49" s="17" t="s">
        <v>453</v>
      </c>
      <c r="E49" s="17" t="s">
        <v>145</v>
      </c>
      <c r="F49" s="23"/>
      <c r="G49" s="21">
        <v>599</v>
      </c>
      <c r="H49" s="21">
        <v>625.42999999999995</v>
      </c>
      <c r="I49" s="21">
        <v>26.43</v>
      </c>
      <c r="J49" s="17" t="s">
        <v>97</v>
      </c>
      <c r="K49" s="22">
        <v>32771</v>
      </c>
      <c r="L49" s="18">
        <v>34</v>
      </c>
      <c r="M49" s="17" t="s">
        <v>187</v>
      </c>
      <c r="N49" s="17" t="s">
        <v>167</v>
      </c>
      <c r="O49" s="18">
        <v>2468</v>
      </c>
      <c r="P49" s="17" t="s">
        <v>86</v>
      </c>
      <c r="Q49" s="17" t="s">
        <v>87</v>
      </c>
      <c r="R49" s="17" t="s">
        <v>105</v>
      </c>
      <c r="S49" s="17" t="s">
        <v>114</v>
      </c>
      <c r="T49" s="17"/>
      <c r="U49" s="17" t="s">
        <v>151</v>
      </c>
      <c r="V49" s="17"/>
      <c r="W49" s="17"/>
      <c r="X49" s="17"/>
      <c r="Y49" s="17" t="s">
        <v>103</v>
      </c>
      <c r="Z49" s="20"/>
      <c r="AA49" s="17" t="s">
        <v>91</v>
      </c>
      <c r="AB49" s="17"/>
      <c r="AC49" s="17"/>
      <c r="AD49" s="17"/>
      <c r="AE49" s="17"/>
      <c r="AF49" s="17"/>
      <c r="AG49" s="17"/>
      <c r="AH49" s="17"/>
      <c r="AI49" s="17" t="s">
        <v>91</v>
      </c>
      <c r="AJ49" s="17"/>
      <c r="AK49" s="17" t="s">
        <v>91</v>
      </c>
      <c r="AL49" s="17"/>
      <c r="AM49" s="17"/>
      <c r="AN49" s="17"/>
      <c r="AO49" s="17"/>
      <c r="AP49" s="17"/>
      <c r="AQ49" s="17"/>
      <c r="AR49" s="17"/>
      <c r="AS49" s="17"/>
      <c r="AT49" s="17"/>
      <c r="AU49" s="17" t="s">
        <v>91</v>
      </c>
      <c r="AV49" s="17"/>
      <c r="AW49" s="17" t="s">
        <v>91</v>
      </c>
      <c r="AX49" s="17" t="s">
        <v>91</v>
      </c>
      <c r="AY49" s="17"/>
      <c r="AZ49" s="17"/>
      <c r="BA49" s="17"/>
      <c r="BB49" s="17"/>
      <c r="BC49" s="17"/>
      <c r="BD49" s="17"/>
      <c r="BE49" s="17"/>
      <c r="BF49" s="17"/>
      <c r="BG49" s="17"/>
      <c r="BH49" s="17"/>
      <c r="BI49" s="17"/>
      <c r="BJ49" s="17"/>
      <c r="BK49" s="17"/>
      <c r="BL49" s="17"/>
      <c r="BM49" s="17"/>
      <c r="BN49" s="17"/>
      <c r="BO49" s="17"/>
      <c r="BP49" s="17"/>
      <c r="BQ49" s="17"/>
      <c r="BR49" s="17" t="s">
        <v>91</v>
      </c>
      <c r="BS49" s="17" t="s">
        <v>91</v>
      </c>
      <c r="BT49" s="17"/>
      <c r="BU49" s="17" t="s">
        <v>454</v>
      </c>
      <c r="BV49" s="17"/>
      <c r="BW49" s="17"/>
      <c r="BX49" s="17"/>
      <c r="BY49" s="17" t="s">
        <v>92</v>
      </c>
      <c r="BZ49" s="17"/>
      <c r="CA49" s="17" t="s">
        <v>156</v>
      </c>
      <c r="CB49" s="17" t="s">
        <v>455</v>
      </c>
      <c r="CC49" s="17"/>
      <c r="CD49" s="17"/>
      <c r="CE49" s="17" t="s">
        <v>456</v>
      </c>
      <c r="CF49" s="17" t="s">
        <v>91</v>
      </c>
    </row>
    <row r="50" spans="1:84" ht="15" x14ac:dyDescent="0.2">
      <c r="A50" s="17" t="s">
        <v>225</v>
      </c>
      <c r="B50" s="18">
        <v>46924578</v>
      </c>
      <c r="C50" s="19">
        <v>45389.475694444445</v>
      </c>
      <c r="D50" s="17" t="s">
        <v>457</v>
      </c>
      <c r="E50" s="17" t="s">
        <v>154</v>
      </c>
      <c r="F50" s="17" t="s">
        <v>113</v>
      </c>
      <c r="G50" s="21">
        <v>825</v>
      </c>
      <c r="H50" s="21">
        <v>0</v>
      </c>
      <c r="I50" s="21">
        <v>0</v>
      </c>
      <c r="J50" s="17" t="s">
        <v>97</v>
      </c>
      <c r="K50" s="22">
        <v>32624</v>
      </c>
      <c r="L50" s="18">
        <v>35</v>
      </c>
      <c r="M50" s="17" t="s">
        <v>458</v>
      </c>
      <c r="N50" s="17" t="s">
        <v>162</v>
      </c>
      <c r="O50" s="18">
        <v>11023</v>
      </c>
      <c r="P50" s="17" t="s">
        <v>86</v>
      </c>
      <c r="Q50" s="17" t="s">
        <v>87</v>
      </c>
      <c r="R50" s="17" t="s">
        <v>88</v>
      </c>
      <c r="S50" s="17" t="s">
        <v>94</v>
      </c>
      <c r="T50" s="17"/>
      <c r="U50" s="17"/>
      <c r="V50" s="17" t="s">
        <v>91</v>
      </c>
      <c r="W50" s="17" t="s">
        <v>459</v>
      </c>
      <c r="X50" s="20"/>
      <c r="Y50" s="17" t="s">
        <v>103</v>
      </c>
      <c r="Z50" s="20"/>
      <c r="AA50" s="17" t="s">
        <v>91</v>
      </c>
      <c r="AB50" s="17"/>
      <c r="AC50" s="17"/>
      <c r="AD50" s="17"/>
      <c r="AE50" s="17"/>
      <c r="AF50" s="17"/>
      <c r="AG50" s="17"/>
      <c r="AH50" s="17" t="s">
        <v>91</v>
      </c>
      <c r="AI50" s="17"/>
      <c r="AJ50" s="17" t="s">
        <v>91</v>
      </c>
      <c r="AK50" s="17"/>
      <c r="AL50" s="17" t="s">
        <v>91</v>
      </c>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t="s">
        <v>91</v>
      </c>
      <c r="BS50" s="17" t="s">
        <v>91</v>
      </c>
      <c r="BT50" s="17"/>
      <c r="BU50" s="17" t="s">
        <v>460</v>
      </c>
      <c r="BV50" s="17"/>
      <c r="BW50" s="17"/>
      <c r="BX50" s="17"/>
      <c r="BY50" s="17" t="s">
        <v>92</v>
      </c>
      <c r="BZ50" s="17"/>
      <c r="CA50" s="17" t="s">
        <v>92</v>
      </c>
      <c r="CB50" s="17" t="s">
        <v>461</v>
      </c>
      <c r="CC50" s="17" t="s">
        <v>462</v>
      </c>
      <c r="CD50" s="17" t="s">
        <v>127</v>
      </c>
      <c r="CE50" s="17"/>
      <c r="CF50" s="17" t="s">
        <v>91</v>
      </c>
    </row>
    <row r="51" spans="1:84" ht="15" x14ac:dyDescent="0.2">
      <c r="A51" s="17" t="s">
        <v>225</v>
      </c>
      <c r="B51" s="18">
        <v>47347443</v>
      </c>
      <c r="C51" s="19">
        <v>45412.442361111112</v>
      </c>
      <c r="D51" s="17" t="s">
        <v>463</v>
      </c>
      <c r="E51" s="17" t="s">
        <v>154</v>
      </c>
      <c r="F51" s="23"/>
      <c r="G51" s="21">
        <v>825</v>
      </c>
      <c r="H51" s="21">
        <v>859.34</v>
      </c>
      <c r="I51" s="21">
        <v>34.340000000000003</v>
      </c>
      <c r="J51" s="17" t="s">
        <v>97</v>
      </c>
      <c r="K51" s="22">
        <v>35349</v>
      </c>
      <c r="L51" s="18">
        <v>27</v>
      </c>
      <c r="M51" s="17" t="s">
        <v>464</v>
      </c>
      <c r="N51" s="17" t="s">
        <v>125</v>
      </c>
      <c r="O51" s="18">
        <v>7042</v>
      </c>
      <c r="P51" s="17" t="s">
        <v>86</v>
      </c>
      <c r="Q51" s="17" t="s">
        <v>87</v>
      </c>
      <c r="R51" s="17" t="s">
        <v>88</v>
      </c>
      <c r="S51" s="17" t="s">
        <v>465</v>
      </c>
      <c r="T51" s="17" t="s">
        <v>466</v>
      </c>
      <c r="U51" s="17"/>
      <c r="V51" s="17" t="s">
        <v>91</v>
      </c>
      <c r="W51" s="17" t="s">
        <v>467</v>
      </c>
      <c r="X51" s="20"/>
      <c r="Y51" s="17" t="s">
        <v>90</v>
      </c>
      <c r="Z51" s="17" t="s">
        <v>468</v>
      </c>
      <c r="AA51" s="17"/>
      <c r="AB51" s="17"/>
      <c r="AC51" s="17" t="s">
        <v>91</v>
      </c>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t="s">
        <v>91</v>
      </c>
      <c r="BM51" s="17"/>
      <c r="BN51" s="17"/>
      <c r="BO51" s="17"/>
      <c r="BP51" s="17"/>
      <c r="BQ51" s="17"/>
      <c r="BR51" s="17"/>
      <c r="BS51" s="17"/>
      <c r="BT51" s="17" t="s">
        <v>91</v>
      </c>
      <c r="BU51" s="17"/>
      <c r="BV51" s="17" t="s">
        <v>469</v>
      </c>
      <c r="BW51" s="20"/>
      <c r="BX51" s="17"/>
      <c r="BY51" s="17" t="s">
        <v>92</v>
      </c>
      <c r="BZ51" s="17"/>
      <c r="CA51" s="17" t="s">
        <v>148</v>
      </c>
      <c r="CB51" s="17" t="s">
        <v>190</v>
      </c>
      <c r="CC51" s="17" t="s">
        <v>470</v>
      </c>
      <c r="CD51" s="17" t="s">
        <v>471</v>
      </c>
      <c r="CE51" s="17" t="s">
        <v>472</v>
      </c>
      <c r="CF51" s="17" t="s">
        <v>91</v>
      </c>
    </row>
    <row r="52" spans="1:84" ht="15" x14ac:dyDescent="0.2">
      <c r="A52" s="17" t="s">
        <v>225</v>
      </c>
      <c r="B52" s="18">
        <v>48198829</v>
      </c>
      <c r="C52" s="19">
        <v>45376.513194444444</v>
      </c>
      <c r="D52" s="17" t="s">
        <v>473</v>
      </c>
      <c r="E52" s="17" t="s">
        <v>145</v>
      </c>
      <c r="F52" s="17" t="s">
        <v>186</v>
      </c>
      <c r="G52" s="21">
        <v>299</v>
      </c>
      <c r="H52" s="21">
        <v>314.77</v>
      </c>
      <c r="I52" s="21">
        <v>15.77</v>
      </c>
      <c r="J52" s="17" t="s">
        <v>97</v>
      </c>
      <c r="K52" s="22">
        <v>30939</v>
      </c>
      <c r="L52" s="18">
        <v>39</v>
      </c>
      <c r="M52" s="17" t="s">
        <v>173</v>
      </c>
      <c r="N52" s="17" t="s">
        <v>162</v>
      </c>
      <c r="O52" s="18">
        <v>11201</v>
      </c>
      <c r="P52" s="17" t="s">
        <v>86</v>
      </c>
      <c r="Q52" s="17" t="s">
        <v>87</v>
      </c>
      <c r="R52" s="17" t="s">
        <v>88</v>
      </c>
      <c r="S52" s="17" t="s">
        <v>119</v>
      </c>
      <c r="T52" s="17"/>
      <c r="U52" s="17" t="s">
        <v>151</v>
      </c>
      <c r="V52" s="20"/>
      <c r="W52" s="17"/>
      <c r="X52" s="17" t="s">
        <v>474</v>
      </c>
      <c r="Y52" s="17" t="s">
        <v>100</v>
      </c>
      <c r="Z52" s="17"/>
      <c r="AA52" s="17"/>
      <c r="AB52" s="17"/>
      <c r="AC52" s="17"/>
      <c r="AD52" s="17" t="s">
        <v>91</v>
      </c>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t="s">
        <v>91</v>
      </c>
      <c r="BM52" s="17"/>
      <c r="BN52" s="17"/>
      <c r="BO52" s="17"/>
      <c r="BP52" s="17"/>
      <c r="BQ52" s="17"/>
      <c r="BR52" s="17"/>
      <c r="BS52" s="17" t="s">
        <v>91</v>
      </c>
      <c r="BT52" s="17"/>
      <c r="BU52" s="17" t="s">
        <v>475</v>
      </c>
      <c r="BV52" s="17" t="s">
        <v>476</v>
      </c>
      <c r="BW52" s="20"/>
      <c r="BX52" s="17"/>
      <c r="BY52" s="17" t="s">
        <v>92</v>
      </c>
      <c r="BZ52" s="17"/>
      <c r="CA52" s="17" t="s">
        <v>92</v>
      </c>
      <c r="CB52" s="17" t="s">
        <v>477</v>
      </c>
      <c r="CC52" s="17" t="s">
        <v>478</v>
      </c>
      <c r="CD52" s="17" t="s">
        <v>110</v>
      </c>
      <c r="CE52" s="17"/>
      <c r="CF52" s="17" t="s">
        <v>91</v>
      </c>
    </row>
    <row r="53" spans="1:84" ht="15" x14ac:dyDescent="0.2">
      <c r="A53" s="17" t="s">
        <v>225</v>
      </c>
      <c r="B53" s="18">
        <v>46905892</v>
      </c>
      <c r="C53" s="19">
        <v>45407.621527777781</v>
      </c>
      <c r="D53" s="17" t="s">
        <v>479</v>
      </c>
      <c r="E53" s="17" t="s">
        <v>157</v>
      </c>
      <c r="F53" s="17"/>
      <c r="G53" s="21">
        <v>895</v>
      </c>
      <c r="H53" s="21">
        <v>931.49</v>
      </c>
      <c r="I53" s="21">
        <v>36.5</v>
      </c>
      <c r="J53" s="17" t="s">
        <v>84</v>
      </c>
      <c r="K53" s="22">
        <v>32882</v>
      </c>
      <c r="L53" s="18">
        <v>34</v>
      </c>
      <c r="M53" s="17" t="s">
        <v>480</v>
      </c>
      <c r="N53" s="17" t="s">
        <v>167</v>
      </c>
      <c r="O53" s="18">
        <v>1902</v>
      </c>
      <c r="P53" s="17" t="s">
        <v>86</v>
      </c>
      <c r="Q53" s="17" t="s">
        <v>87</v>
      </c>
      <c r="R53" s="17" t="s">
        <v>108</v>
      </c>
      <c r="S53" s="17" t="s">
        <v>94</v>
      </c>
      <c r="T53" s="17"/>
      <c r="U53" s="17"/>
      <c r="V53" s="17"/>
      <c r="W53" s="17"/>
      <c r="X53" s="17"/>
      <c r="Y53" s="17" t="s">
        <v>106</v>
      </c>
      <c r="Z53" s="20"/>
      <c r="AA53" s="17" t="s">
        <v>91</v>
      </c>
      <c r="AB53" s="17"/>
      <c r="AC53" s="17"/>
      <c r="AD53" s="17"/>
      <c r="AE53" s="17"/>
      <c r="AF53" s="17"/>
      <c r="AG53" s="17"/>
      <c r="AH53" s="17"/>
      <c r="AI53" s="17"/>
      <c r="AJ53" s="17"/>
      <c r="AK53" s="17"/>
      <c r="AL53" s="17" t="s">
        <v>91</v>
      </c>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t="s">
        <v>91</v>
      </c>
      <c r="BS53" s="17"/>
      <c r="BT53" s="17"/>
      <c r="BU53" s="17" t="s">
        <v>481</v>
      </c>
      <c r="BV53" s="17"/>
      <c r="BW53" s="17"/>
      <c r="BX53" s="17"/>
      <c r="BY53" s="17" t="s">
        <v>91</v>
      </c>
      <c r="BZ53" s="17" t="s">
        <v>482</v>
      </c>
      <c r="CA53" s="17" t="s">
        <v>92</v>
      </c>
      <c r="CB53" s="17" t="s">
        <v>483</v>
      </c>
      <c r="CC53" s="17" t="s">
        <v>484</v>
      </c>
      <c r="CD53" s="17" t="s">
        <v>485</v>
      </c>
      <c r="CE53" s="20"/>
      <c r="CF53" s="17" t="s">
        <v>91</v>
      </c>
    </row>
    <row r="54" spans="1:84" ht="15" x14ac:dyDescent="0.2">
      <c r="A54" s="17" t="s">
        <v>225</v>
      </c>
      <c r="B54" s="18">
        <v>48021795</v>
      </c>
      <c r="C54" s="19">
        <v>45411.647916666669</v>
      </c>
      <c r="D54" s="17" t="s">
        <v>224</v>
      </c>
      <c r="E54" s="17" t="s">
        <v>154</v>
      </c>
      <c r="F54" s="17"/>
      <c r="G54" s="21">
        <v>825</v>
      </c>
      <c r="H54" s="21">
        <v>859.34</v>
      </c>
      <c r="I54" s="21">
        <v>34.340000000000003</v>
      </c>
      <c r="J54" s="17" t="s">
        <v>97</v>
      </c>
      <c r="K54" s="22">
        <v>34141</v>
      </c>
      <c r="L54" s="18">
        <v>30</v>
      </c>
      <c r="M54" s="17" t="s">
        <v>209</v>
      </c>
      <c r="N54" s="17" t="s">
        <v>167</v>
      </c>
      <c r="O54" s="18">
        <v>2451</v>
      </c>
      <c r="P54" s="17" t="s">
        <v>86</v>
      </c>
      <c r="Q54" s="17" t="s">
        <v>87</v>
      </c>
      <c r="R54" s="17" t="s">
        <v>105</v>
      </c>
      <c r="S54" s="17" t="s">
        <v>94</v>
      </c>
      <c r="T54" s="17"/>
      <c r="U54" s="17"/>
      <c r="V54" s="17" t="s">
        <v>91</v>
      </c>
      <c r="W54" s="17" t="s">
        <v>486</v>
      </c>
      <c r="X54" s="17"/>
      <c r="Y54" s="17" t="s">
        <v>103</v>
      </c>
      <c r="Z54" s="17"/>
      <c r="AA54" s="17" t="s">
        <v>91</v>
      </c>
      <c r="AB54" s="17"/>
      <c r="AC54" s="17" t="s">
        <v>91</v>
      </c>
      <c r="AD54" s="17"/>
      <c r="AE54" s="17"/>
      <c r="AF54" s="17"/>
      <c r="AG54" s="17"/>
      <c r="AH54" s="17"/>
      <c r="AI54" s="17"/>
      <c r="AJ54" s="17"/>
      <c r="AK54" s="17" t="s">
        <v>91</v>
      </c>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t="s">
        <v>91</v>
      </c>
      <c r="BS54" s="17" t="s">
        <v>91</v>
      </c>
      <c r="BT54" s="17"/>
      <c r="BU54" s="17" t="s">
        <v>487</v>
      </c>
      <c r="BV54" s="17"/>
      <c r="BW54" s="17"/>
      <c r="BX54" s="17"/>
      <c r="BY54" s="17" t="s">
        <v>92</v>
      </c>
      <c r="BZ54" s="17"/>
      <c r="CA54" s="17" t="s">
        <v>148</v>
      </c>
      <c r="CB54" s="17" t="s">
        <v>488</v>
      </c>
      <c r="CC54" s="17" t="s">
        <v>489</v>
      </c>
      <c r="CD54" s="17" t="s">
        <v>216</v>
      </c>
      <c r="CE54" s="17" t="s">
        <v>490</v>
      </c>
      <c r="CF54" s="17" t="s">
        <v>91</v>
      </c>
    </row>
    <row r="55" spans="1:84" ht="15" x14ac:dyDescent="0.2">
      <c r="A55" s="17" t="s">
        <v>225</v>
      </c>
      <c r="B55" s="18">
        <v>48177428</v>
      </c>
      <c r="C55" s="19">
        <v>45412.787499999999</v>
      </c>
      <c r="D55" s="17" t="s">
        <v>491</v>
      </c>
      <c r="E55" s="17" t="s">
        <v>145</v>
      </c>
      <c r="F55" s="23"/>
      <c r="G55" s="21">
        <v>599</v>
      </c>
      <c r="H55" s="21">
        <v>625.42999999999995</v>
      </c>
      <c r="I55" s="21">
        <v>26.43</v>
      </c>
      <c r="J55" s="17" t="s">
        <v>84</v>
      </c>
      <c r="K55" s="22">
        <v>32717</v>
      </c>
      <c r="L55" s="18">
        <v>34</v>
      </c>
      <c r="M55" s="17" t="s">
        <v>492</v>
      </c>
      <c r="N55" s="17" t="s">
        <v>125</v>
      </c>
      <c r="O55" s="18">
        <v>7458</v>
      </c>
      <c r="P55" s="17" t="s">
        <v>86</v>
      </c>
      <c r="Q55" s="17" t="s">
        <v>87</v>
      </c>
      <c r="R55" s="17" t="s">
        <v>88</v>
      </c>
      <c r="S55" s="17" t="s">
        <v>99</v>
      </c>
      <c r="T55" s="17" t="s">
        <v>493</v>
      </c>
      <c r="U55" s="17" t="s">
        <v>159</v>
      </c>
      <c r="V55" s="20"/>
      <c r="W55" s="17"/>
      <c r="X55" s="17" t="s">
        <v>494</v>
      </c>
      <c r="Y55" s="17" t="s">
        <v>90</v>
      </c>
      <c r="Z55" s="17" t="s">
        <v>495</v>
      </c>
      <c r="AA55" s="17" t="s">
        <v>91</v>
      </c>
      <c r="AB55" s="17"/>
      <c r="AC55" s="17"/>
      <c r="AD55" s="17"/>
      <c r="AE55" s="17"/>
      <c r="AF55" s="17"/>
      <c r="AG55" s="17"/>
      <c r="AH55" s="17"/>
      <c r="AI55" s="17"/>
      <c r="AJ55" s="17"/>
      <c r="AK55" s="17" t="s">
        <v>91</v>
      </c>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t="s">
        <v>91</v>
      </c>
      <c r="BT55" s="17"/>
      <c r="BU55" s="17" t="s">
        <v>496</v>
      </c>
      <c r="BV55" s="20"/>
      <c r="BW55" s="17"/>
      <c r="BX55" s="17"/>
      <c r="BY55" s="17" t="s">
        <v>92</v>
      </c>
      <c r="BZ55" s="17"/>
      <c r="CA55" s="17" t="s">
        <v>148</v>
      </c>
      <c r="CB55" s="17" t="s">
        <v>497</v>
      </c>
      <c r="CC55" s="17" t="s">
        <v>498</v>
      </c>
      <c r="CD55" s="17" t="s">
        <v>137</v>
      </c>
      <c r="CE55" s="17"/>
      <c r="CF55" s="17" t="s">
        <v>91</v>
      </c>
    </row>
    <row r="56" spans="1:84" ht="15" x14ac:dyDescent="0.2">
      <c r="A56" s="17" t="s">
        <v>225</v>
      </c>
      <c r="B56" s="18">
        <v>48216921</v>
      </c>
      <c r="C56" s="19">
        <v>45410.888888888891</v>
      </c>
      <c r="D56" s="17" t="s">
        <v>499</v>
      </c>
      <c r="E56" s="17" t="s">
        <v>145</v>
      </c>
      <c r="F56" s="17" t="s">
        <v>217</v>
      </c>
      <c r="G56" s="21">
        <v>599</v>
      </c>
      <c r="H56" s="21">
        <v>0</v>
      </c>
      <c r="I56" s="21">
        <v>0</v>
      </c>
      <c r="J56" s="17" t="s">
        <v>84</v>
      </c>
      <c r="K56" s="22">
        <v>29972</v>
      </c>
      <c r="L56" s="18">
        <v>42</v>
      </c>
      <c r="M56" s="17" t="s">
        <v>138</v>
      </c>
      <c r="N56" s="17" t="s">
        <v>139</v>
      </c>
      <c r="O56" s="18">
        <v>19107</v>
      </c>
      <c r="P56" s="17" t="s">
        <v>86</v>
      </c>
      <c r="Q56" s="17" t="s">
        <v>87</v>
      </c>
      <c r="R56" s="17" t="s">
        <v>108</v>
      </c>
      <c r="S56" s="17" t="s">
        <v>119</v>
      </c>
      <c r="T56" s="17"/>
      <c r="U56" s="17" t="s">
        <v>161</v>
      </c>
      <c r="V56" s="17"/>
      <c r="W56" s="17"/>
      <c r="X56" s="17"/>
      <c r="Y56" s="17" t="s">
        <v>95</v>
      </c>
      <c r="Z56" s="17"/>
      <c r="AA56" s="17" t="s">
        <v>91</v>
      </c>
      <c r="AB56" s="17" t="s">
        <v>91</v>
      </c>
      <c r="AC56" s="17" t="s">
        <v>91</v>
      </c>
      <c r="AD56" s="17"/>
      <c r="AE56" s="17" t="s">
        <v>91</v>
      </c>
      <c r="AF56" s="17"/>
      <c r="AG56" s="17" t="s">
        <v>91</v>
      </c>
      <c r="AH56" s="17"/>
      <c r="AI56" s="17"/>
      <c r="AJ56" s="17" t="s">
        <v>91</v>
      </c>
      <c r="AK56" s="17"/>
      <c r="AL56" s="17" t="s">
        <v>91</v>
      </c>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t="s">
        <v>91</v>
      </c>
      <c r="BU56" s="17"/>
      <c r="BV56" s="17"/>
      <c r="BW56" s="17"/>
      <c r="BX56" s="17"/>
      <c r="BY56" s="17" t="s">
        <v>92</v>
      </c>
      <c r="BZ56" s="17"/>
      <c r="CA56" s="17" t="s">
        <v>92</v>
      </c>
      <c r="CB56" s="17" t="s">
        <v>500</v>
      </c>
      <c r="CC56" s="17" t="s">
        <v>501</v>
      </c>
      <c r="CD56" s="17" t="s">
        <v>96</v>
      </c>
      <c r="CE56" s="17"/>
      <c r="CF56" s="17" t="s">
        <v>91</v>
      </c>
    </row>
    <row r="57" spans="1:84" ht="15" x14ac:dyDescent="0.2">
      <c r="A57" s="17" t="s">
        <v>225</v>
      </c>
      <c r="B57" s="18">
        <v>48157622</v>
      </c>
      <c r="C57" s="19">
        <v>45400.419444444444</v>
      </c>
      <c r="D57" s="17" t="s">
        <v>502</v>
      </c>
      <c r="E57" s="17" t="s">
        <v>145</v>
      </c>
      <c r="F57" s="23"/>
      <c r="G57" s="21">
        <v>599</v>
      </c>
      <c r="H57" s="21">
        <v>625.13</v>
      </c>
      <c r="I57" s="21">
        <v>18.43</v>
      </c>
      <c r="J57" s="17" t="s">
        <v>84</v>
      </c>
      <c r="K57" s="22">
        <v>32784</v>
      </c>
      <c r="L57" s="18">
        <v>34</v>
      </c>
      <c r="M57" s="17" t="s">
        <v>166</v>
      </c>
      <c r="N57" s="17" t="s">
        <v>167</v>
      </c>
      <c r="O57" s="18">
        <v>2114</v>
      </c>
      <c r="P57" s="17" t="s">
        <v>86</v>
      </c>
      <c r="Q57" s="17" t="s">
        <v>87</v>
      </c>
      <c r="R57" s="17" t="s">
        <v>88</v>
      </c>
      <c r="S57" s="17" t="s">
        <v>94</v>
      </c>
      <c r="T57" s="17"/>
      <c r="U57" s="17" t="s">
        <v>161</v>
      </c>
      <c r="V57" s="17"/>
      <c r="W57" s="17"/>
      <c r="X57" s="17"/>
      <c r="Y57" s="17" t="s">
        <v>106</v>
      </c>
      <c r="Z57" s="20"/>
      <c r="AA57" s="17"/>
      <c r="AB57" s="17"/>
      <c r="AC57" s="17"/>
      <c r="AD57" s="17" t="s">
        <v>91</v>
      </c>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t="s">
        <v>91</v>
      </c>
      <c r="BQ57" s="17"/>
      <c r="BR57" s="17"/>
      <c r="BS57" s="17"/>
      <c r="BT57" s="17" t="s">
        <v>91</v>
      </c>
      <c r="BU57" s="17"/>
      <c r="BV57" s="17"/>
      <c r="BW57" s="17" t="s">
        <v>94</v>
      </c>
      <c r="BX57" s="17"/>
      <c r="BY57" s="17" t="s">
        <v>92</v>
      </c>
      <c r="BZ57" s="17"/>
      <c r="CA57" s="17" t="s">
        <v>148</v>
      </c>
      <c r="CB57" s="17" t="s">
        <v>503</v>
      </c>
      <c r="CC57" s="17" t="s">
        <v>504</v>
      </c>
      <c r="CD57" s="17" t="s">
        <v>505</v>
      </c>
      <c r="CE57" s="17" t="s">
        <v>506</v>
      </c>
      <c r="CF57" s="17" t="s">
        <v>91</v>
      </c>
    </row>
    <row r="58" spans="1:84" ht="15" x14ac:dyDescent="0.2">
      <c r="A58" s="17" t="s">
        <v>225</v>
      </c>
      <c r="B58" s="18">
        <v>47772321</v>
      </c>
      <c r="C58" s="19">
        <v>45389.861805555556</v>
      </c>
      <c r="D58" s="17" t="s">
        <v>507</v>
      </c>
      <c r="E58" s="17" t="s">
        <v>145</v>
      </c>
      <c r="F58" s="23"/>
      <c r="G58" s="21">
        <v>599</v>
      </c>
      <c r="H58" s="21">
        <v>625.13</v>
      </c>
      <c r="I58" s="21">
        <v>18.43</v>
      </c>
      <c r="J58" s="17" t="s">
        <v>97</v>
      </c>
      <c r="K58" s="22">
        <v>33860</v>
      </c>
      <c r="L58" s="18">
        <v>31</v>
      </c>
      <c r="M58" s="17" t="s">
        <v>171</v>
      </c>
      <c r="N58" s="17" t="s">
        <v>162</v>
      </c>
      <c r="O58" s="18">
        <v>10022</v>
      </c>
      <c r="P58" s="17" t="s">
        <v>86</v>
      </c>
      <c r="Q58" s="17" t="s">
        <v>87</v>
      </c>
      <c r="R58" s="17" t="s">
        <v>105</v>
      </c>
      <c r="S58" s="17" t="s">
        <v>94</v>
      </c>
      <c r="T58" s="17"/>
      <c r="U58" s="17" t="s">
        <v>151</v>
      </c>
      <c r="V58" s="20"/>
      <c r="W58" s="17"/>
      <c r="X58" s="17"/>
      <c r="Y58" s="17" t="s">
        <v>103</v>
      </c>
      <c r="Z58" s="20"/>
      <c r="AA58" s="17" t="s">
        <v>91</v>
      </c>
      <c r="AB58" s="17"/>
      <c r="AC58" s="17"/>
      <c r="AD58" s="17"/>
      <c r="AE58" s="17"/>
      <c r="AF58" s="17"/>
      <c r="AG58" s="17"/>
      <c r="AH58" s="17"/>
      <c r="AI58" s="17"/>
      <c r="AJ58" s="17"/>
      <c r="AK58" s="17"/>
      <c r="AL58" s="17" t="s">
        <v>91</v>
      </c>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t="s">
        <v>91</v>
      </c>
      <c r="BT58" s="17"/>
      <c r="BU58" s="17" t="s">
        <v>508</v>
      </c>
      <c r="BV58" s="20"/>
      <c r="BW58" s="17"/>
      <c r="BX58" s="17"/>
      <c r="BY58" s="17" t="s">
        <v>92</v>
      </c>
      <c r="BZ58" s="17"/>
      <c r="CA58" s="17" t="s">
        <v>92</v>
      </c>
      <c r="CB58" s="17" t="s">
        <v>509</v>
      </c>
      <c r="CC58" s="17" t="s">
        <v>510</v>
      </c>
      <c r="CD58" s="17" t="s">
        <v>511</v>
      </c>
      <c r="CE58" s="17" t="s">
        <v>512</v>
      </c>
      <c r="CF58" s="17" t="s">
        <v>91</v>
      </c>
    </row>
    <row r="59" spans="1:84" ht="15" x14ac:dyDescent="0.2">
      <c r="A59" s="17" t="s">
        <v>225</v>
      </c>
      <c r="B59" s="18">
        <v>47367387</v>
      </c>
      <c r="C59" s="19">
        <v>45376.919444444444</v>
      </c>
      <c r="D59" s="17" t="s">
        <v>513</v>
      </c>
      <c r="E59" s="17" t="s">
        <v>154</v>
      </c>
      <c r="F59" s="23"/>
      <c r="G59" s="21">
        <v>825</v>
      </c>
      <c r="H59" s="21">
        <v>859.34</v>
      </c>
      <c r="I59" s="21">
        <v>34.340000000000003</v>
      </c>
      <c r="J59" s="17" t="s">
        <v>84</v>
      </c>
      <c r="K59" s="22">
        <v>31526</v>
      </c>
      <c r="L59" s="18">
        <v>37</v>
      </c>
      <c r="M59" s="17" t="s">
        <v>117</v>
      </c>
      <c r="N59" s="17" t="s">
        <v>162</v>
      </c>
      <c r="O59" s="18">
        <v>11561</v>
      </c>
      <c r="P59" s="17" t="s">
        <v>86</v>
      </c>
      <c r="Q59" s="17" t="s">
        <v>87</v>
      </c>
      <c r="R59" s="17" t="s">
        <v>98</v>
      </c>
      <c r="S59" s="17" t="s">
        <v>514</v>
      </c>
      <c r="T59" s="17"/>
      <c r="U59" s="17"/>
      <c r="V59" s="17" t="s">
        <v>160</v>
      </c>
      <c r="W59" s="20"/>
      <c r="X59" s="20"/>
      <c r="Y59" s="17" t="s">
        <v>95</v>
      </c>
      <c r="Z59" s="17"/>
      <c r="AA59" s="17" t="s">
        <v>91</v>
      </c>
      <c r="AB59" s="17"/>
      <c r="AC59" s="17"/>
      <c r="AD59" s="17"/>
      <c r="AE59" s="17"/>
      <c r="AF59" s="17"/>
      <c r="AG59" s="17" t="s">
        <v>91</v>
      </c>
      <c r="AH59" s="17"/>
      <c r="AI59" s="17" t="s">
        <v>91</v>
      </c>
      <c r="AJ59" s="17"/>
      <c r="AK59" s="17" t="s">
        <v>91</v>
      </c>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t="s">
        <v>91</v>
      </c>
      <c r="BS59" s="17" t="s">
        <v>91</v>
      </c>
      <c r="BT59" s="17"/>
      <c r="BU59" s="17" t="s">
        <v>515</v>
      </c>
      <c r="BV59" s="20"/>
      <c r="BW59" s="20"/>
      <c r="BX59" s="17"/>
      <c r="BY59" s="17" t="s">
        <v>92</v>
      </c>
      <c r="BZ59" s="17"/>
      <c r="CA59" s="17" t="s">
        <v>148</v>
      </c>
      <c r="CB59" s="17" t="s">
        <v>185</v>
      </c>
      <c r="CC59" s="17" t="s">
        <v>516</v>
      </c>
      <c r="CD59" s="17" t="s">
        <v>517</v>
      </c>
      <c r="CE59" s="17"/>
      <c r="CF59" s="17" t="s">
        <v>91</v>
      </c>
    </row>
    <row r="60" spans="1:84" ht="15" x14ac:dyDescent="0.2">
      <c r="A60" s="17" t="s">
        <v>225</v>
      </c>
      <c r="B60" s="18">
        <v>46921954</v>
      </c>
      <c r="C60" s="19">
        <v>45378.40902777778</v>
      </c>
      <c r="D60" s="17" t="s">
        <v>128</v>
      </c>
      <c r="E60" s="17" t="s">
        <v>145</v>
      </c>
      <c r="F60" s="17" t="s">
        <v>113</v>
      </c>
      <c r="G60" s="21">
        <v>599</v>
      </c>
      <c r="H60" s="21">
        <v>0</v>
      </c>
      <c r="I60" s="21">
        <v>0</v>
      </c>
      <c r="J60" s="17" t="s">
        <v>97</v>
      </c>
      <c r="K60" s="22">
        <v>32436</v>
      </c>
      <c r="L60" s="18">
        <v>35</v>
      </c>
      <c r="M60" s="17" t="s">
        <v>359</v>
      </c>
      <c r="N60" s="17" t="s">
        <v>167</v>
      </c>
      <c r="O60" s="18">
        <v>2135</v>
      </c>
      <c r="P60" s="17" t="s">
        <v>86</v>
      </c>
      <c r="Q60" s="17" t="s">
        <v>87</v>
      </c>
      <c r="R60" s="17" t="s">
        <v>88</v>
      </c>
      <c r="S60" s="17" t="s">
        <v>94</v>
      </c>
      <c r="T60" s="17"/>
      <c r="U60" s="17" t="s">
        <v>159</v>
      </c>
      <c r="V60" s="20"/>
      <c r="W60" s="17"/>
      <c r="X60" s="17" t="s">
        <v>518</v>
      </c>
      <c r="Y60" s="17" t="s">
        <v>95</v>
      </c>
      <c r="Z60" s="17"/>
      <c r="AA60" s="17" t="s">
        <v>91</v>
      </c>
      <c r="AB60" s="17" t="s">
        <v>91</v>
      </c>
      <c r="AC60" s="17"/>
      <c r="AD60" s="17"/>
      <c r="AE60" s="17"/>
      <c r="AF60" s="17"/>
      <c r="AG60" s="17"/>
      <c r="AH60" s="17"/>
      <c r="AI60" s="17"/>
      <c r="AJ60" s="17"/>
      <c r="AK60" s="17"/>
      <c r="AL60" s="17" t="s">
        <v>91</v>
      </c>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t="s">
        <v>91</v>
      </c>
      <c r="BS60" s="17"/>
      <c r="BT60" s="17"/>
      <c r="BU60" s="17" t="s">
        <v>129</v>
      </c>
      <c r="BV60" s="17"/>
      <c r="BW60" s="17"/>
      <c r="BX60" s="17"/>
      <c r="BY60" s="17" t="s">
        <v>92</v>
      </c>
      <c r="BZ60" s="17"/>
      <c r="CA60" s="17" t="s">
        <v>92</v>
      </c>
      <c r="CB60" s="17" t="s">
        <v>519</v>
      </c>
      <c r="CC60" s="17" t="s">
        <v>130</v>
      </c>
      <c r="CD60" s="17" t="s">
        <v>131</v>
      </c>
      <c r="CE60" s="17" t="s">
        <v>520</v>
      </c>
      <c r="CF60" s="17" t="s">
        <v>91</v>
      </c>
    </row>
    <row r="61" spans="1:84" ht="15" x14ac:dyDescent="0.2">
      <c r="A61" s="17" t="s">
        <v>225</v>
      </c>
      <c r="B61" s="18">
        <v>46954258</v>
      </c>
      <c r="C61" s="19">
        <v>45398.994444444441</v>
      </c>
      <c r="D61" s="17" t="s">
        <v>132</v>
      </c>
      <c r="E61" s="17" t="s">
        <v>145</v>
      </c>
      <c r="F61" s="17" t="s">
        <v>113</v>
      </c>
      <c r="G61" s="21">
        <v>599</v>
      </c>
      <c r="H61" s="21">
        <v>0</v>
      </c>
      <c r="I61" s="21">
        <v>0</v>
      </c>
      <c r="J61" s="17" t="s">
        <v>97</v>
      </c>
      <c r="K61" s="22">
        <v>31527</v>
      </c>
      <c r="L61" s="18">
        <v>37</v>
      </c>
      <c r="M61" s="17" t="s">
        <v>169</v>
      </c>
      <c r="N61" s="17" t="s">
        <v>170</v>
      </c>
      <c r="O61" s="18">
        <v>20001</v>
      </c>
      <c r="P61" s="17" t="s">
        <v>86</v>
      </c>
      <c r="Q61" s="17" t="s">
        <v>87</v>
      </c>
      <c r="R61" s="17" t="s">
        <v>88</v>
      </c>
      <c r="S61" s="17" t="s">
        <v>94</v>
      </c>
      <c r="T61" s="17"/>
      <c r="U61" s="17" t="s">
        <v>159</v>
      </c>
      <c r="V61" s="20"/>
      <c r="W61" s="17"/>
      <c r="X61" s="17" t="s">
        <v>521</v>
      </c>
      <c r="Y61" s="17" t="s">
        <v>100</v>
      </c>
      <c r="Z61" s="17"/>
      <c r="AA61" s="17" t="s">
        <v>91</v>
      </c>
      <c r="AB61" s="17"/>
      <c r="AC61" s="17"/>
      <c r="AD61" s="17"/>
      <c r="AE61" s="17"/>
      <c r="AF61" s="17"/>
      <c r="AG61" s="17"/>
      <c r="AH61" s="17"/>
      <c r="AI61" s="17"/>
      <c r="AJ61" s="17"/>
      <c r="AK61" s="17" t="s">
        <v>91</v>
      </c>
      <c r="AL61" s="17"/>
      <c r="AM61" s="17"/>
      <c r="AN61" s="17"/>
      <c r="AO61" s="17"/>
      <c r="AP61" s="17"/>
      <c r="AQ61" s="17"/>
      <c r="AR61" s="17"/>
      <c r="AS61" s="17"/>
      <c r="AT61" s="17"/>
      <c r="AU61" s="17"/>
      <c r="AV61" s="17"/>
      <c r="AW61" s="17"/>
      <c r="AX61" s="17" t="s">
        <v>91</v>
      </c>
      <c r="AY61" s="17"/>
      <c r="AZ61" s="17"/>
      <c r="BA61" s="17"/>
      <c r="BB61" s="17"/>
      <c r="BC61" s="17"/>
      <c r="BD61" s="17"/>
      <c r="BE61" s="17"/>
      <c r="BF61" s="17"/>
      <c r="BG61" s="17"/>
      <c r="BH61" s="17"/>
      <c r="BI61" s="17"/>
      <c r="BJ61" s="17"/>
      <c r="BK61" s="17"/>
      <c r="BL61" s="17"/>
      <c r="BM61" s="17"/>
      <c r="BN61" s="17"/>
      <c r="BO61" s="17"/>
      <c r="BP61" s="17"/>
      <c r="BQ61" s="17"/>
      <c r="BR61" s="17"/>
      <c r="BS61" s="17"/>
      <c r="BT61" s="17" t="s">
        <v>91</v>
      </c>
      <c r="BU61" s="17"/>
      <c r="BV61" s="17"/>
      <c r="BW61" s="17"/>
      <c r="BX61" s="17"/>
      <c r="BY61" s="17" t="s">
        <v>92</v>
      </c>
      <c r="BZ61" s="17"/>
      <c r="CA61" s="17" t="s">
        <v>156</v>
      </c>
      <c r="CB61" s="17" t="s">
        <v>133</v>
      </c>
      <c r="CC61" s="17" t="s">
        <v>134</v>
      </c>
      <c r="CD61" s="17" t="s">
        <v>135</v>
      </c>
      <c r="CE61" s="17"/>
      <c r="CF61" s="17" t="s">
        <v>91</v>
      </c>
    </row>
    <row r="62" spans="1:84" ht="15" x14ac:dyDescent="0.2">
      <c r="A62" s="17" t="s">
        <v>225</v>
      </c>
      <c r="B62" s="18">
        <v>47729407</v>
      </c>
      <c r="C62" s="19">
        <v>45376.762499999997</v>
      </c>
      <c r="D62" s="17" t="s">
        <v>223</v>
      </c>
      <c r="E62" s="17" t="s">
        <v>154</v>
      </c>
      <c r="F62" s="23"/>
      <c r="G62" s="21">
        <v>825</v>
      </c>
      <c r="H62" s="21">
        <v>859.34</v>
      </c>
      <c r="I62" s="21">
        <v>34.340000000000003</v>
      </c>
      <c r="J62" s="17" t="s">
        <v>84</v>
      </c>
      <c r="K62" s="22">
        <v>35264</v>
      </c>
      <c r="L62" s="18">
        <v>28</v>
      </c>
      <c r="M62" s="17" t="s">
        <v>522</v>
      </c>
      <c r="N62" s="17" t="s">
        <v>215</v>
      </c>
      <c r="O62" s="18">
        <v>22182</v>
      </c>
      <c r="P62" s="17" t="s">
        <v>86</v>
      </c>
      <c r="Q62" s="17" t="s">
        <v>87</v>
      </c>
      <c r="R62" s="17" t="s">
        <v>88</v>
      </c>
      <c r="S62" s="17" t="s">
        <v>99</v>
      </c>
      <c r="T62" s="17" t="s">
        <v>523</v>
      </c>
      <c r="U62" s="17"/>
      <c r="V62" s="17" t="s">
        <v>160</v>
      </c>
      <c r="W62" s="20"/>
      <c r="X62" s="20"/>
      <c r="Y62" s="17" t="s">
        <v>100</v>
      </c>
      <c r="Z62" s="17"/>
      <c r="AA62" s="17"/>
      <c r="AB62" s="17"/>
      <c r="AC62" s="17"/>
      <c r="AD62" s="17" t="s">
        <v>91</v>
      </c>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t="s">
        <v>91</v>
      </c>
      <c r="BM62" s="17"/>
      <c r="BN62" s="17"/>
      <c r="BO62" s="17"/>
      <c r="BP62" s="17" t="s">
        <v>91</v>
      </c>
      <c r="BQ62" s="17"/>
      <c r="BR62" s="17" t="s">
        <v>91</v>
      </c>
      <c r="BS62" s="17"/>
      <c r="BT62" s="17"/>
      <c r="BU62" s="17" t="s">
        <v>524</v>
      </c>
      <c r="BV62" s="17" t="s">
        <v>525</v>
      </c>
      <c r="BW62" s="17" t="s">
        <v>525</v>
      </c>
      <c r="BX62" s="17"/>
      <c r="BY62" s="17" t="s">
        <v>92</v>
      </c>
      <c r="BZ62" s="17"/>
      <c r="CA62" s="17" t="s">
        <v>92</v>
      </c>
      <c r="CB62" s="17" t="s">
        <v>526</v>
      </c>
      <c r="CC62" s="17" t="s">
        <v>527</v>
      </c>
      <c r="CD62" s="17" t="s">
        <v>528</v>
      </c>
      <c r="CE62" s="20"/>
      <c r="CF62" s="17" t="s">
        <v>91</v>
      </c>
    </row>
    <row r="63" spans="1:84" ht="15" x14ac:dyDescent="0.2">
      <c r="A63" s="17" t="s">
        <v>225</v>
      </c>
      <c r="B63" s="18">
        <v>46916442</v>
      </c>
      <c r="C63" s="19">
        <v>45444.677777777775</v>
      </c>
      <c r="D63" s="17" t="s">
        <v>180</v>
      </c>
      <c r="E63" s="17" t="s">
        <v>154</v>
      </c>
      <c r="F63" s="17" t="s">
        <v>529</v>
      </c>
      <c r="G63" s="21">
        <v>226</v>
      </c>
      <c r="H63" s="21">
        <v>237.27</v>
      </c>
      <c r="I63" s="21">
        <v>11.28</v>
      </c>
      <c r="J63" s="17" t="s">
        <v>97</v>
      </c>
      <c r="K63" s="22">
        <v>31428</v>
      </c>
      <c r="L63" s="18">
        <v>38</v>
      </c>
      <c r="M63" s="17" t="s">
        <v>530</v>
      </c>
      <c r="N63" s="17" t="s">
        <v>125</v>
      </c>
      <c r="O63" s="18">
        <v>7960</v>
      </c>
      <c r="P63" s="17" t="s">
        <v>86</v>
      </c>
      <c r="Q63" s="17" t="s">
        <v>87</v>
      </c>
      <c r="R63" s="17" t="s">
        <v>88</v>
      </c>
      <c r="S63" s="17" t="s">
        <v>94</v>
      </c>
      <c r="T63" s="17"/>
      <c r="U63" s="17"/>
      <c r="V63" s="17" t="s">
        <v>91</v>
      </c>
      <c r="W63" s="17" t="s">
        <v>531</v>
      </c>
      <c r="X63" s="20"/>
      <c r="Y63" s="17" t="s">
        <v>106</v>
      </c>
      <c r="Z63" s="20"/>
      <c r="AA63" s="17" t="s">
        <v>91</v>
      </c>
      <c r="AB63" s="17"/>
      <c r="AC63" s="17" t="s">
        <v>91</v>
      </c>
      <c r="AD63" s="17"/>
      <c r="AE63" s="17"/>
      <c r="AF63" s="17"/>
      <c r="AG63" s="17"/>
      <c r="AH63" s="17"/>
      <c r="AI63" s="17"/>
      <c r="AJ63" s="17"/>
      <c r="AK63" s="17" t="s">
        <v>91</v>
      </c>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t="s">
        <v>91</v>
      </c>
      <c r="BT63" s="17"/>
      <c r="BU63" s="17" t="s">
        <v>532</v>
      </c>
      <c r="BV63" s="17"/>
      <c r="BW63" s="17"/>
      <c r="BX63" s="17"/>
      <c r="BY63" s="17" t="s">
        <v>91</v>
      </c>
      <c r="BZ63" s="17" t="s">
        <v>533</v>
      </c>
      <c r="CA63" s="17" t="s">
        <v>148</v>
      </c>
      <c r="CB63" s="17" t="s">
        <v>534</v>
      </c>
      <c r="CC63" s="17" t="s">
        <v>535</v>
      </c>
      <c r="CD63" s="17" t="s">
        <v>536</v>
      </c>
      <c r="CE63" s="17" t="s">
        <v>537</v>
      </c>
      <c r="CF63" s="17" t="s">
        <v>91</v>
      </c>
    </row>
    <row r="64" spans="1:84" ht="15" x14ac:dyDescent="0.2">
      <c r="A64" s="17" t="s">
        <v>225</v>
      </c>
      <c r="B64" s="18">
        <v>46907514</v>
      </c>
      <c r="C64" s="19">
        <v>45378.011111111111</v>
      </c>
      <c r="D64" s="17" t="s">
        <v>538</v>
      </c>
      <c r="E64" s="17" t="s">
        <v>157</v>
      </c>
      <c r="F64" s="17"/>
      <c r="G64" s="21">
        <v>895</v>
      </c>
      <c r="H64" s="21">
        <v>931.49</v>
      </c>
      <c r="I64" s="21">
        <v>36.5</v>
      </c>
      <c r="J64" s="17" t="s">
        <v>97</v>
      </c>
      <c r="K64" s="22">
        <v>33543</v>
      </c>
      <c r="L64" s="18">
        <v>32</v>
      </c>
      <c r="M64" s="17" t="s">
        <v>138</v>
      </c>
      <c r="N64" s="17" t="s">
        <v>139</v>
      </c>
      <c r="O64" s="18">
        <v>19107</v>
      </c>
      <c r="P64" s="17" t="s">
        <v>86</v>
      </c>
      <c r="Q64" s="17" t="s">
        <v>87</v>
      </c>
      <c r="R64" s="17" t="s">
        <v>88</v>
      </c>
      <c r="S64" s="17" t="s">
        <v>121</v>
      </c>
      <c r="T64" s="17"/>
      <c r="U64" s="17"/>
      <c r="V64" s="17"/>
      <c r="W64" s="17"/>
      <c r="X64" s="17"/>
      <c r="Y64" s="17" t="s">
        <v>106</v>
      </c>
      <c r="Z64" s="20"/>
      <c r="AA64" s="17" t="s">
        <v>91</v>
      </c>
      <c r="AB64" s="17"/>
      <c r="AC64" s="17"/>
      <c r="AD64" s="17"/>
      <c r="AE64" s="17"/>
      <c r="AF64" s="17"/>
      <c r="AG64" s="17"/>
      <c r="AH64" s="17"/>
      <c r="AI64" s="17"/>
      <c r="AJ64" s="17"/>
      <c r="AK64" s="17" t="s">
        <v>91</v>
      </c>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t="s">
        <v>91</v>
      </c>
      <c r="BS64" s="17" t="s">
        <v>91</v>
      </c>
      <c r="BT64" s="17"/>
      <c r="BU64" s="17" t="s">
        <v>539</v>
      </c>
      <c r="BV64" s="17"/>
      <c r="BW64" s="17"/>
      <c r="BX64" s="17"/>
      <c r="BY64" s="17" t="s">
        <v>92</v>
      </c>
      <c r="BZ64" s="17"/>
      <c r="CA64" s="17" t="s">
        <v>148</v>
      </c>
      <c r="CB64" s="17" t="s">
        <v>540</v>
      </c>
      <c r="CC64" s="17" t="s">
        <v>541</v>
      </c>
      <c r="CD64" s="17" t="s">
        <v>542</v>
      </c>
      <c r="CE64" s="20"/>
      <c r="CF64" s="17" t="s">
        <v>91</v>
      </c>
    </row>
    <row r="65" spans="1:84" ht="15" x14ac:dyDescent="0.2">
      <c r="A65" s="17" t="s">
        <v>225</v>
      </c>
      <c r="B65" s="18">
        <v>46950489</v>
      </c>
      <c r="C65" s="19">
        <v>45418.959027777775</v>
      </c>
      <c r="D65" s="17" t="s">
        <v>543</v>
      </c>
      <c r="E65" s="17" t="s">
        <v>145</v>
      </c>
      <c r="F65" s="17" t="s">
        <v>113</v>
      </c>
      <c r="G65" s="21">
        <v>599</v>
      </c>
      <c r="H65" s="21">
        <v>0</v>
      </c>
      <c r="I65" s="21">
        <v>0</v>
      </c>
      <c r="J65" s="17" t="s">
        <v>97</v>
      </c>
      <c r="K65" s="22">
        <v>33164</v>
      </c>
      <c r="L65" s="18">
        <v>32</v>
      </c>
      <c r="M65" s="17" t="s">
        <v>189</v>
      </c>
      <c r="N65" s="17" t="s">
        <v>184</v>
      </c>
      <c r="O65" s="18">
        <v>6117</v>
      </c>
      <c r="P65" s="17" t="s">
        <v>86</v>
      </c>
      <c r="Q65" s="17" t="s">
        <v>87</v>
      </c>
      <c r="R65" s="17" t="s">
        <v>98</v>
      </c>
      <c r="S65" s="17" t="s">
        <v>99</v>
      </c>
      <c r="T65" s="17" t="s">
        <v>544</v>
      </c>
      <c r="U65" s="17" t="s">
        <v>147</v>
      </c>
      <c r="V65" s="20"/>
      <c r="W65" s="17"/>
      <c r="X65" s="17"/>
      <c r="Y65" s="17" t="s">
        <v>103</v>
      </c>
      <c r="Z65" s="20"/>
      <c r="AA65" s="17" t="s">
        <v>91</v>
      </c>
      <c r="AB65" s="17"/>
      <c r="AC65" s="17"/>
      <c r="AD65" s="17"/>
      <c r="AE65" s="17"/>
      <c r="AF65" s="17"/>
      <c r="AG65" s="17"/>
      <c r="AH65" s="17"/>
      <c r="AI65" s="17"/>
      <c r="AJ65" s="17"/>
      <c r="AK65" s="17" t="s">
        <v>91</v>
      </c>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t="s">
        <v>91</v>
      </c>
      <c r="BT65" s="17"/>
      <c r="BU65" s="17" t="s">
        <v>545</v>
      </c>
      <c r="BV65" s="17"/>
      <c r="BW65" s="17"/>
      <c r="BX65" s="17"/>
      <c r="BY65" s="17" t="s">
        <v>92</v>
      </c>
      <c r="BZ65" s="17"/>
      <c r="CA65" s="17" t="s">
        <v>156</v>
      </c>
      <c r="CB65" s="17" t="s">
        <v>546</v>
      </c>
      <c r="CC65" s="17" t="s">
        <v>547</v>
      </c>
      <c r="CD65" s="17" t="s">
        <v>548</v>
      </c>
      <c r="CE65" s="17"/>
      <c r="CF65" s="17" t="s">
        <v>91</v>
      </c>
    </row>
    <row r="66" spans="1:84" ht="15" x14ac:dyDescent="0.2">
      <c r="A66" s="17" t="s">
        <v>225</v>
      </c>
      <c r="B66" s="18">
        <v>48437996</v>
      </c>
      <c r="C66" s="19">
        <v>45378.392361111109</v>
      </c>
      <c r="D66" s="17" t="s">
        <v>549</v>
      </c>
      <c r="E66" s="17" t="s">
        <v>168</v>
      </c>
      <c r="F66" s="23"/>
      <c r="G66" s="21">
        <v>725</v>
      </c>
      <c r="H66" s="21">
        <v>755.84</v>
      </c>
      <c r="I66" s="21">
        <v>30.84</v>
      </c>
      <c r="J66" s="17" t="s">
        <v>97</v>
      </c>
      <c r="K66" s="22">
        <v>35757</v>
      </c>
      <c r="L66" s="18">
        <v>26</v>
      </c>
      <c r="M66" s="17" t="s">
        <v>171</v>
      </c>
      <c r="N66" s="17" t="s">
        <v>162</v>
      </c>
      <c r="O66" s="18">
        <v>10024</v>
      </c>
      <c r="P66" s="17" t="s">
        <v>86</v>
      </c>
      <c r="Q66" s="17" t="s">
        <v>87</v>
      </c>
      <c r="R66" s="17" t="s">
        <v>88</v>
      </c>
      <c r="S66" s="17" t="s">
        <v>94</v>
      </c>
      <c r="T66" s="17"/>
      <c r="U66" s="17" t="s">
        <v>147</v>
      </c>
      <c r="V66" s="20"/>
      <c r="W66" s="17"/>
      <c r="X66" s="17"/>
      <c r="Y66" s="17" t="s">
        <v>106</v>
      </c>
      <c r="Z66" s="20"/>
      <c r="AA66" s="17" t="s">
        <v>91</v>
      </c>
      <c r="AB66" s="17" t="s">
        <v>91</v>
      </c>
      <c r="AC66" s="17"/>
      <c r="AD66" s="17"/>
      <c r="AE66" s="17"/>
      <c r="AF66" s="17" t="s">
        <v>91</v>
      </c>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t="s">
        <v>91</v>
      </c>
      <c r="BS66" s="17" t="s">
        <v>91</v>
      </c>
      <c r="BT66" s="17"/>
      <c r="BU66" s="17" t="s">
        <v>550</v>
      </c>
      <c r="BV66" s="20"/>
      <c r="BW66" s="20"/>
      <c r="BX66" s="20"/>
      <c r="BY66" s="17" t="s">
        <v>92</v>
      </c>
      <c r="BZ66" s="17"/>
      <c r="CA66" s="17" t="s">
        <v>92</v>
      </c>
      <c r="CB66" s="17" t="s">
        <v>488</v>
      </c>
      <c r="CC66" s="17" t="s">
        <v>551</v>
      </c>
      <c r="CD66" s="17" t="s">
        <v>552</v>
      </c>
      <c r="CE66" s="17" t="s">
        <v>553</v>
      </c>
      <c r="CF66" s="17" t="s">
        <v>91</v>
      </c>
    </row>
    <row r="67" spans="1:84" ht="15" x14ac:dyDescent="0.2">
      <c r="A67" s="17" t="s">
        <v>225</v>
      </c>
      <c r="B67" s="18">
        <v>46953718</v>
      </c>
      <c r="C67" s="19">
        <v>45412.927083333336</v>
      </c>
      <c r="D67" s="17" t="s">
        <v>554</v>
      </c>
      <c r="E67" s="17" t="s">
        <v>145</v>
      </c>
      <c r="F67" s="20"/>
      <c r="G67" s="21">
        <v>599</v>
      </c>
      <c r="H67" s="21">
        <v>625.13</v>
      </c>
      <c r="I67" s="21">
        <v>26.14</v>
      </c>
      <c r="J67" s="17" t="s">
        <v>97</v>
      </c>
      <c r="K67" s="22">
        <v>32962</v>
      </c>
      <c r="L67" s="18">
        <v>33</v>
      </c>
      <c r="M67" s="17" t="s">
        <v>555</v>
      </c>
      <c r="N67" s="17" t="s">
        <v>162</v>
      </c>
      <c r="O67" s="18">
        <v>13066</v>
      </c>
      <c r="P67" s="17" t="s">
        <v>86</v>
      </c>
      <c r="Q67" s="17" t="s">
        <v>87</v>
      </c>
      <c r="R67" s="17" t="s">
        <v>105</v>
      </c>
      <c r="S67" s="17" t="s">
        <v>94</v>
      </c>
      <c r="T67" s="17"/>
      <c r="U67" s="17" t="s">
        <v>151</v>
      </c>
      <c r="V67" s="20"/>
      <c r="W67" s="17"/>
      <c r="X67" s="17" t="s">
        <v>556</v>
      </c>
      <c r="Y67" s="17" t="s">
        <v>100</v>
      </c>
      <c r="Z67" s="17"/>
      <c r="AA67" s="17" t="s">
        <v>91</v>
      </c>
      <c r="AB67" s="17"/>
      <c r="AC67" s="17" t="s">
        <v>91</v>
      </c>
      <c r="AD67" s="17"/>
      <c r="AE67" s="17"/>
      <c r="AF67" s="17"/>
      <c r="AG67" s="17"/>
      <c r="AH67" s="17"/>
      <c r="AI67" s="17"/>
      <c r="AJ67" s="17"/>
      <c r="AK67" s="17"/>
      <c r="AL67" s="17" t="s">
        <v>91</v>
      </c>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t="s">
        <v>91</v>
      </c>
      <c r="BT67" s="17"/>
      <c r="BU67" s="17" t="s">
        <v>557</v>
      </c>
      <c r="BV67" s="17"/>
      <c r="BW67" s="17"/>
      <c r="BX67" s="17"/>
      <c r="BY67" s="17" t="s">
        <v>92</v>
      </c>
      <c r="BZ67" s="17"/>
      <c r="CA67" s="17" t="s">
        <v>92</v>
      </c>
      <c r="CB67" s="17" t="s">
        <v>558</v>
      </c>
      <c r="CC67" s="17" t="s">
        <v>559</v>
      </c>
      <c r="CD67" s="17" t="s">
        <v>110</v>
      </c>
      <c r="CE67" s="17"/>
      <c r="CF67" s="17" t="s">
        <v>91</v>
      </c>
    </row>
    <row r="68" spans="1:84" ht="15" x14ac:dyDescent="0.2">
      <c r="A68" s="17" t="s">
        <v>225</v>
      </c>
      <c r="B68" s="18">
        <v>48223497</v>
      </c>
      <c r="C68" s="19">
        <v>45412.772916666669</v>
      </c>
      <c r="D68" s="17" t="s">
        <v>219</v>
      </c>
      <c r="E68" s="17" t="s">
        <v>145</v>
      </c>
      <c r="F68" s="23"/>
      <c r="G68" s="21">
        <v>599</v>
      </c>
      <c r="H68" s="21">
        <v>625.42999999999995</v>
      </c>
      <c r="I68" s="21">
        <v>26.43</v>
      </c>
      <c r="J68" s="17" t="s">
        <v>84</v>
      </c>
      <c r="K68" s="22">
        <v>33027</v>
      </c>
      <c r="L68" s="18">
        <v>33</v>
      </c>
      <c r="M68" s="17" t="s">
        <v>171</v>
      </c>
      <c r="N68" s="17" t="s">
        <v>162</v>
      </c>
      <c r="O68" s="18">
        <v>10123</v>
      </c>
      <c r="P68" s="17" t="s">
        <v>86</v>
      </c>
      <c r="Q68" s="17" t="s">
        <v>87</v>
      </c>
      <c r="R68" s="17" t="s">
        <v>98</v>
      </c>
      <c r="S68" s="17" t="s">
        <v>94</v>
      </c>
      <c r="T68" s="17"/>
      <c r="U68" s="17" t="s">
        <v>161</v>
      </c>
      <c r="V68" s="17"/>
      <c r="W68" s="17"/>
      <c r="X68" s="17"/>
      <c r="Y68" s="17" t="s">
        <v>95</v>
      </c>
      <c r="Z68" s="17"/>
      <c r="AA68" s="17"/>
      <c r="AB68" s="17"/>
      <c r="AC68" s="17"/>
      <c r="AD68" s="17" t="s">
        <v>91</v>
      </c>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t="s">
        <v>91</v>
      </c>
      <c r="BP68" s="17"/>
      <c r="BQ68" s="17"/>
      <c r="BR68" s="17" t="s">
        <v>91</v>
      </c>
      <c r="BS68" s="17" t="s">
        <v>91</v>
      </c>
      <c r="BT68" s="17"/>
      <c r="BU68" s="17" t="s">
        <v>560</v>
      </c>
      <c r="BV68" s="20"/>
      <c r="BW68" s="20"/>
      <c r="BX68" s="20"/>
      <c r="BY68" s="17" t="s">
        <v>92</v>
      </c>
      <c r="BZ68" s="17"/>
      <c r="CA68" s="17" t="s">
        <v>148</v>
      </c>
      <c r="CB68" s="20"/>
      <c r="CC68" s="17"/>
      <c r="CD68" s="17"/>
      <c r="CE68" s="17"/>
      <c r="CF68" s="17" t="s">
        <v>91</v>
      </c>
    </row>
    <row r="69" spans="1:84" ht="15" x14ac:dyDescent="0.2">
      <c r="A69" s="17" t="s">
        <v>225</v>
      </c>
      <c r="B69" s="18">
        <v>46910775</v>
      </c>
      <c r="C69" s="19">
        <v>45376.620138888888</v>
      </c>
      <c r="D69" s="17" t="s">
        <v>192</v>
      </c>
      <c r="E69" s="17" t="s">
        <v>145</v>
      </c>
      <c r="F69" s="17"/>
      <c r="G69" s="21">
        <v>599</v>
      </c>
      <c r="H69" s="21">
        <v>625.13</v>
      </c>
      <c r="I69" s="21">
        <v>26.14</v>
      </c>
      <c r="J69" s="17" t="s">
        <v>84</v>
      </c>
      <c r="K69" s="22">
        <v>34842</v>
      </c>
      <c r="L69" s="18">
        <v>29</v>
      </c>
      <c r="M69" s="17" t="s">
        <v>150</v>
      </c>
      <c r="N69" s="17" t="s">
        <v>212</v>
      </c>
      <c r="O69" s="18">
        <v>78757</v>
      </c>
      <c r="P69" s="17" t="s">
        <v>86</v>
      </c>
      <c r="Q69" s="17" t="s">
        <v>87</v>
      </c>
      <c r="R69" s="17" t="s">
        <v>98</v>
      </c>
      <c r="S69" s="17" t="s">
        <v>94</v>
      </c>
      <c r="T69" s="17"/>
      <c r="U69" s="17" t="s">
        <v>159</v>
      </c>
      <c r="V69" s="20"/>
      <c r="W69" s="17"/>
      <c r="X69" s="17" t="s">
        <v>561</v>
      </c>
      <c r="Y69" s="17" t="s">
        <v>106</v>
      </c>
      <c r="Z69" s="20"/>
      <c r="AA69" s="17" t="s">
        <v>91</v>
      </c>
      <c r="AB69" s="17" t="s">
        <v>91</v>
      </c>
      <c r="AC69" s="17" t="s">
        <v>91</v>
      </c>
      <c r="AD69" s="17"/>
      <c r="AE69" s="17"/>
      <c r="AF69" s="17" t="s">
        <v>91</v>
      </c>
      <c r="AG69" s="17" t="s">
        <v>91</v>
      </c>
      <c r="AH69" s="17"/>
      <c r="AI69" s="17"/>
      <c r="AJ69" s="17"/>
      <c r="AK69" s="17" t="s">
        <v>91</v>
      </c>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t="s">
        <v>91</v>
      </c>
      <c r="BS69" s="17" t="s">
        <v>91</v>
      </c>
      <c r="BT69" s="17"/>
      <c r="BU69" s="17" t="s">
        <v>562</v>
      </c>
      <c r="BV69" s="17"/>
      <c r="BW69" s="17"/>
      <c r="BX69" s="17"/>
      <c r="BY69" s="17" t="s">
        <v>92</v>
      </c>
      <c r="BZ69" s="17"/>
      <c r="CA69" s="17" t="s">
        <v>148</v>
      </c>
      <c r="CB69" s="17" t="s">
        <v>193</v>
      </c>
      <c r="CC69" s="17" t="s">
        <v>563</v>
      </c>
      <c r="CD69" s="17" t="s">
        <v>194</v>
      </c>
      <c r="CE69" s="17" t="s">
        <v>564</v>
      </c>
      <c r="CF69" s="17" t="s">
        <v>91</v>
      </c>
    </row>
    <row r="70" spans="1:84" ht="15" x14ac:dyDescent="0.2">
      <c r="A70" s="17" t="s">
        <v>225</v>
      </c>
      <c r="B70" s="18">
        <v>48475075</v>
      </c>
      <c r="C70" s="19">
        <v>45420.472222222219</v>
      </c>
      <c r="D70" s="17" t="s">
        <v>565</v>
      </c>
      <c r="E70" s="17" t="s">
        <v>155</v>
      </c>
      <c r="F70" s="17" t="s">
        <v>566</v>
      </c>
      <c r="G70" s="21">
        <v>925</v>
      </c>
      <c r="H70" s="21">
        <v>0</v>
      </c>
      <c r="I70" s="21">
        <v>0</v>
      </c>
      <c r="J70" s="17" t="s">
        <v>84</v>
      </c>
      <c r="K70" s="22">
        <v>35562</v>
      </c>
      <c r="L70" s="18">
        <v>26</v>
      </c>
      <c r="M70" s="17" t="s">
        <v>136</v>
      </c>
      <c r="N70" s="17" t="s">
        <v>116</v>
      </c>
      <c r="O70" s="18">
        <v>33609</v>
      </c>
      <c r="P70" s="17" t="s">
        <v>118</v>
      </c>
      <c r="Q70" s="17" t="s">
        <v>87</v>
      </c>
      <c r="R70" s="17" t="s">
        <v>93</v>
      </c>
      <c r="S70" s="17" t="s">
        <v>567</v>
      </c>
      <c r="T70" s="20"/>
      <c r="U70" s="17"/>
      <c r="V70" s="17" t="s">
        <v>160</v>
      </c>
      <c r="W70" s="20"/>
      <c r="X70" s="20"/>
      <c r="Y70" s="17" t="s">
        <v>100</v>
      </c>
      <c r="Z70" s="17"/>
      <c r="AA70" s="17"/>
      <c r="AB70" s="17" t="s">
        <v>91</v>
      </c>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t="s">
        <v>91</v>
      </c>
      <c r="BM70" s="17"/>
      <c r="BN70" s="17"/>
      <c r="BO70" s="17"/>
      <c r="BP70" s="17"/>
      <c r="BQ70" s="17"/>
      <c r="BR70" s="17" t="s">
        <v>91</v>
      </c>
      <c r="BS70" s="17" t="s">
        <v>91</v>
      </c>
      <c r="BT70" s="17"/>
      <c r="BU70" s="17" t="s">
        <v>568</v>
      </c>
      <c r="BV70" s="17" t="s">
        <v>569</v>
      </c>
      <c r="BW70" s="20"/>
      <c r="BX70" s="20"/>
      <c r="BY70" s="17" t="s">
        <v>92</v>
      </c>
      <c r="BZ70" s="17"/>
      <c r="CA70" s="17" t="s">
        <v>156</v>
      </c>
      <c r="CB70" s="17" t="s">
        <v>570</v>
      </c>
      <c r="CC70" s="17" t="s">
        <v>571</v>
      </c>
      <c r="CD70" s="17" t="s">
        <v>572</v>
      </c>
      <c r="CE70" s="17" t="s">
        <v>573</v>
      </c>
      <c r="CF70" s="17" t="s">
        <v>91</v>
      </c>
    </row>
    <row r="71" spans="1:84" ht="15" x14ac:dyDescent="0.2">
      <c r="A71" s="17" t="s">
        <v>225</v>
      </c>
      <c r="B71" s="18">
        <v>46947333</v>
      </c>
      <c r="C71" s="19">
        <v>45377.886805555558</v>
      </c>
      <c r="D71" s="17" t="s">
        <v>574</v>
      </c>
      <c r="E71" s="17" t="s">
        <v>145</v>
      </c>
      <c r="F71" s="17" t="s">
        <v>113</v>
      </c>
      <c r="G71" s="21">
        <v>599</v>
      </c>
      <c r="H71" s="21">
        <v>0</v>
      </c>
      <c r="I71" s="21">
        <v>0</v>
      </c>
      <c r="J71" s="17" t="s">
        <v>97</v>
      </c>
      <c r="K71" s="22">
        <v>33701</v>
      </c>
      <c r="L71" s="18">
        <v>32</v>
      </c>
      <c r="M71" s="17" t="s">
        <v>171</v>
      </c>
      <c r="N71" s="17" t="s">
        <v>162</v>
      </c>
      <c r="O71" s="18">
        <v>10024</v>
      </c>
      <c r="P71" s="17" t="s">
        <v>86</v>
      </c>
      <c r="Q71" s="17" t="s">
        <v>87</v>
      </c>
      <c r="R71" s="17" t="s">
        <v>98</v>
      </c>
      <c r="S71" s="17" t="s">
        <v>99</v>
      </c>
      <c r="T71" s="17" t="s">
        <v>575</v>
      </c>
      <c r="U71" s="17" t="s">
        <v>151</v>
      </c>
      <c r="V71" s="20"/>
      <c r="W71" s="17"/>
      <c r="X71" s="17" t="s">
        <v>576</v>
      </c>
      <c r="Y71" s="17" t="s">
        <v>103</v>
      </c>
      <c r="Z71" s="20"/>
      <c r="AA71" s="17" t="s">
        <v>91</v>
      </c>
      <c r="AB71" s="17"/>
      <c r="AC71" s="17"/>
      <c r="AD71" s="17"/>
      <c r="AE71" s="17"/>
      <c r="AF71" s="17"/>
      <c r="AG71" s="17"/>
      <c r="AH71" s="17"/>
      <c r="AI71" s="17"/>
      <c r="AJ71" s="17"/>
      <c r="AK71" s="17"/>
      <c r="AL71" s="17" t="s">
        <v>91</v>
      </c>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t="s">
        <v>91</v>
      </c>
      <c r="BS71" s="17" t="s">
        <v>91</v>
      </c>
      <c r="BT71" s="17"/>
      <c r="BU71" s="17" t="s">
        <v>577</v>
      </c>
      <c r="BV71" s="17"/>
      <c r="BW71" s="17"/>
      <c r="BX71" s="17"/>
      <c r="BY71" s="17" t="s">
        <v>92</v>
      </c>
      <c r="BZ71" s="17"/>
      <c r="CA71" s="17" t="s">
        <v>148</v>
      </c>
      <c r="CB71" s="17" t="s">
        <v>578</v>
      </c>
      <c r="CC71" s="17" t="s">
        <v>579</v>
      </c>
      <c r="CD71" s="17" t="s">
        <v>580</v>
      </c>
      <c r="CE71" s="20"/>
      <c r="CF71" s="17" t="s">
        <v>91</v>
      </c>
    </row>
    <row r="72" spans="1:84" ht="15" x14ac:dyDescent="0.2">
      <c r="A72" s="17" t="s">
        <v>225</v>
      </c>
      <c r="B72" s="18">
        <v>46910559</v>
      </c>
      <c r="C72" s="19">
        <v>45376.615972222222</v>
      </c>
      <c r="D72" s="17" t="s">
        <v>177</v>
      </c>
      <c r="E72" s="17" t="s">
        <v>145</v>
      </c>
      <c r="F72" s="17"/>
      <c r="G72" s="21">
        <v>599</v>
      </c>
      <c r="H72" s="21">
        <v>625.13</v>
      </c>
      <c r="I72" s="21">
        <v>26.14</v>
      </c>
      <c r="J72" s="17" t="s">
        <v>97</v>
      </c>
      <c r="K72" s="22">
        <v>31574</v>
      </c>
      <c r="L72" s="18">
        <v>38</v>
      </c>
      <c r="M72" s="17" t="s">
        <v>83</v>
      </c>
      <c r="N72" s="17" t="s">
        <v>85</v>
      </c>
      <c r="O72" s="18">
        <v>30307</v>
      </c>
      <c r="P72" s="17" t="s">
        <v>86</v>
      </c>
      <c r="Q72" s="17" t="s">
        <v>87</v>
      </c>
      <c r="R72" s="17" t="s">
        <v>88</v>
      </c>
      <c r="S72" s="17" t="s">
        <v>94</v>
      </c>
      <c r="T72" s="17"/>
      <c r="U72" s="17" t="s">
        <v>151</v>
      </c>
      <c r="V72" s="20"/>
      <c r="W72" s="17"/>
      <c r="X72" s="17"/>
      <c r="Y72" s="17" t="s">
        <v>106</v>
      </c>
      <c r="Z72" s="20"/>
      <c r="AA72" s="17" t="s">
        <v>91</v>
      </c>
      <c r="AB72" s="17" t="s">
        <v>91</v>
      </c>
      <c r="AC72" s="17" t="s">
        <v>91</v>
      </c>
      <c r="AD72" s="17"/>
      <c r="AE72" s="17"/>
      <c r="AF72" s="17"/>
      <c r="AG72" s="17"/>
      <c r="AH72" s="17" t="s">
        <v>91</v>
      </c>
      <c r="AI72" s="17" t="s">
        <v>91</v>
      </c>
      <c r="AJ72" s="17"/>
      <c r="AK72" s="17" t="s">
        <v>91</v>
      </c>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t="s">
        <v>91</v>
      </c>
      <c r="BU72" s="17"/>
      <c r="BV72" s="17"/>
      <c r="BW72" s="17"/>
      <c r="BX72" s="17"/>
      <c r="BY72" s="17" t="s">
        <v>92</v>
      </c>
      <c r="BZ72" s="17"/>
      <c r="CA72" s="17" t="s">
        <v>148</v>
      </c>
      <c r="CB72" s="17" t="s">
        <v>178</v>
      </c>
      <c r="CC72" s="17" t="s">
        <v>581</v>
      </c>
      <c r="CD72" s="17" t="s">
        <v>110</v>
      </c>
      <c r="CE72" s="17"/>
      <c r="CF72" s="17" t="s">
        <v>91</v>
      </c>
    </row>
    <row r="73" spans="1:84" ht="15" x14ac:dyDescent="0.2">
      <c r="A73" s="17" t="s">
        <v>225</v>
      </c>
      <c r="B73" s="18">
        <v>48338993</v>
      </c>
      <c r="C73" s="19">
        <v>45415.918749999997</v>
      </c>
      <c r="D73" s="17" t="s">
        <v>582</v>
      </c>
      <c r="E73" s="17" t="s">
        <v>145</v>
      </c>
      <c r="F73" s="23"/>
      <c r="G73" s="21">
        <v>599</v>
      </c>
      <c r="H73" s="21">
        <v>627.21</v>
      </c>
      <c r="I73" s="21">
        <v>28.21</v>
      </c>
      <c r="J73" s="17" t="s">
        <v>97</v>
      </c>
      <c r="K73" s="22">
        <v>32195</v>
      </c>
      <c r="L73" s="18">
        <v>36</v>
      </c>
      <c r="M73" s="17" t="s">
        <v>583</v>
      </c>
      <c r="N73" s="17" t="s">
        <v>164</v>
      </c>
      <c r="O73" s="18">
        <v>20794</v>
      </c>
      <c r="P73" s="17" t="s">
        <v>86</v>
      </c>
      <c r="Q73" s="17" t="s">
        <v>87</v>
      </c>
      <c r="R73" s="17" t="s">
        <v>98</v>
      </c>
      <c r="S73" s="17" t="s">
        <v>99</v>
      </c>
      <c r="T73" s="17" t="s">
        <v>584</v>
      </c>
      <c r="U73" s="17" t="s">
        <v>147</v>
      </c>
      <c r="V73" s="20"/>
      <c r="W73" s="17"/>
      <c r="X73" s="17"/>
      <c r="Y73" s="17" t="s">
        <v>103</v>
      </c>
      <c r="Z73" s="20"/>
      <c r="AA73" s="17"/>
      <c r="AB73" s="17" t="s">
        <v>91</v>
      </c>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t="s">
        <v>91</v>
      </c>
      <c r="BH73" s="17"/>
      <c r="BI73" s="17"/>
      <c r="BJ73" s="17"/>
      <c r="BK73" s="17"/>
      <c r="BL73" s="17"/>
      <c r="BM73" s="17"/>
      <c r="BN73" s="17"/>
      <c r="BO73" s="17"/>
      <c r="BP73" s="17"/>
      <c r="BQ73" s="17"/>
      <c r="BR73" s="17"/>
      <c r="BS73" s="17" t="s">
        <v>91</v>
      </c>
      <c r="BT73" s="17"/>
      <c r="BU73" s="17" t="s">
        <v>585</v>
      </c>
      <c r="BV73" s="20"/>
      <c r="BW73" s="20"/>
      <c r="BX73" s="17"/>
      <c r="BY73" s="17" t="s">
        <v>92</v>
      </c>
      <c r="BZ73" s="17"/>
      <c r="CA73" s="17" t="s">
        <v>156</v>
      </c>
      <c r="CB73" s="17" t="s">
        <v>586</v>
      </c>
      <c r="CC73" s="17" t="s">
        <v>587</v>
      </c>
      <c r="CD73" s="17" t="s">
        <v>588</v>
      </c>
      <c r="CE73" s="17" t="s">
        <v>589</v>
      </c>
      <c r="CF73" s="17" t="s">
        <v>91</v>
      </c>
    </row>
    <row r="74" spans="1:84" ht="15" x14ac:dyDescent="0.2">
      <c r="A74" s="17" t="s">
        <v>225</v>
      </c>
      <c r="B74" s="18">
        <v>48178739</v>
      </c>
      <c r="C74" s="19">
        <v>45411.673611111109</v>
      </c>
      <c r="D74" s="17" t="s">
        <v>590</v>
      </c>
      <c r="E74" s="17" t="s">
        <v>145</v>
      </c>
      <c r="F74" s="23"/>
      <c r="G74" s="21">
        <v>599</v>
      </c>
      <c r="H74" s="21">
        <v>625.42999999999995</v>
      </c>
      <c r="I74" s="21">
        <v>26.43</v>
      </c>
      <c r="J74" s="17" t="s">
        <v>97</v>
      </c>
      <c r="K74" s="22">
        <v>34460</v>
      </c>
      <c r="L74" s="18">
        <v>29</v>
      </c>
      <c r="M74" s="17" t="s">
        <v>138</v>
      </c>
      <c r="N74" s="17" t="s">
        <v>139</v>
      </c>
      <c r="O74" s="18">
        <v>19102</v>
      </c>
      <c r="P74" s="17" t="s">
        <v>86</v>
      </c>
      <c r="Q74" s="17" t="s">
        <v>87</v>
      </c>
      <c r="R74" s="17" t="s">
        <v>98</v>
      </c>
      <c r="S74" s="17" t="s">
        <v>165</v>
      </c>
      <c r="T74" s="17" t="s">
        <v>591</v>
      </c>
      <c r="U74" s="17" t="s">
        <v>147</v>
      </c>
      <c r="V74" s="20"/>
      <c r="W74" s="17"/>
      <c r="X74" s="17"/>
      <c r="Y74" s="17" t="s">
        <v>95</v>
      </c>
      <c r="Z74" s="17"/>
      <c r="AA74" s="17"/>
      <c r="AB74" s="17"/>
      <c r="AC74" s="17"/>
      <c r="AD74" s="17" t="s">
        <v>91</v>
      </c>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t="s">
        <v>91</v>
      </c>
      <c r="BR74" s="17" t="s">
        <v>91</v>
      </c>
      <c r="BS74" s="17" t="s">
        <v>91</v>
      </c>
      <c r="BT74" s="17"/>
      <c r="BU74" s="17" t="s">
        <v>592</v>
      </c>
      <c r="BV74" s="20"/>
      <c r="BW74" s="20"/>
      <c r="BX74" s="17" t="s">
        <v>593</v>
      </c>
      <c r="BY74" s="17" t="s">
        <v>92</v>
      </c>
      <c r="BZ74" s="17"/>
      <c r="CA74" s="17" t="s">
        <v>92</v>
      </c>
      <c r="CB74" s="17" t="s">
        <v>594</v>
      </c>
      <c r="CC74" s="17" t="s">
        <v>595</v>
      </c>
      <c r="CD74" s="17" t="s">
        <v>596</v>
      </c>
      <c r="CE74" s="20"/>
      <c r="CF74" s="17" t="s">
        <v>91</v>
      </c>
    </row>
    <row r="75" spans="1:84" ht="15" x14ac:dyDescent="0.2">
      <c r="A75" s="17" t="s">
        <v>225</v>
      </c>
      <c r="B75" s="18">
        <v>48488324</v>
      </c>
      <c r="C75" s="19">
        <v>45420.749305555553</v>
      </c>
      <c r="D75" s="17" t="s">
        <v>597</v>
      </c>
      <c r="E75" s="17" t="s">
        <v>168</v>
      </c>
      <c r="F75" s="17" t="s">
        <v>598</v>
      </c>
      <c r="G75" s="21">
        <v>725</v>
      </c>
      <c r="H75" s="21">
        <v>0</v>
      </c>
      <c r="I75" s="21">
        <v>0</v>
      </c>
      <c r="J75" s="17" t="s">
        <v>97</v>
      </c>
      <c r="K75" s="22">
        <v>31504</v>
      </c>
      <c r="L75" s="18">
        <v>37</v>
      </c>
      <c r="M75" s="17" t="s">
        <v>599</v>
      </c>
      <c r="N75" s="17" t="s">
        <v>167</v>
      </c>
      <c r="O75" s="18" t="s">
        <v>600</v>
      </c>
      <c r="P75" s="17" t="s">
        <v>118</v>
      </c>
      <c r="Q75" s="17" t="s">
        <v>87</v>
      </c>
      <c r="R75" s="17" t="s">
        <v>88</v>
      </c>
      <c r="S75" s="17" t="s">
        <v>112</v>
      </c>
      <c r="T75" s="20"/>
      <c r="U75" s="17" t="s">
        <v>151</v>
      </c>
      <c r="V75" s="20"/>
      <c r="W75" s="17"/>
      <c r="X75" s="17"/>
      <c r="Y75" s="17" t="s">
        <v>100</v>
      </c>
      <c r="Z75" s="17"/>
      <c r="AA75" s="17"/>
      <c r="AB75" s="17"/>
      <c r="AC75" s="17"/>
      <c r="AD75" s="17" t="s">
        <v>91</v>
      </c>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t="s">
        <v>91</v>
      </c>
      <c r="BQ75" s="17"/>
      <c r="BR75" s="17"/>
      <c r="BS75" s="17" t="s">
        <v>91</v>
      </c>
      <c r="BT75" s="17"/>
      <c r="BU75" s="17" t="s">
        <v>601</v>
      </c>
      <c r="BV75" s="20"/>
      <c r="BW75" s="17" t="s">
        <v>602</v>
      </c>
      <c r="BX75" s="20"/>
      <c r="BY75" s="17" t="s">
        <v>91</v>
      </c>
      <c r="BZ75" s="17" t="s">
        <v>603</v>
      </c>
      <c r="CA75" s="17" t="s">
        <v>92</v>
      </c>
      <c r="CB75" s="17" t="s">
        <v>211</v>
      </c>
      <c r="CC75" s="17"/>
      <c r="CD75" s="17"/>
      <c r="CE75" s="17"/>
      <c r="CF75" s="17" t="s">
        <v>91</v>
      </c>
    </row>
    <row r="76" spans="1:84" ht="15" x14ac:dyDescent="0.2">
      <c r="A76" s="17" t="s">
        <v>225</v>
      </c>
      <c r="B76" s="18">
        <v>47983807</v>
      </c>
      <c r="C76" s="19">
        <v>45406.577777777777</v>
      </c>
      <c r="D76" s="17" t="s">
        <v>220</v>
      </c>
      <c r="E76" s="17" t="s">
        <v>154</v>
      </c>
      <c r="F76" s="17"/>
      <c r="G76" s="21">
        <v>825</v>
      </c>
      <c r="H76" s="21">
        <v>861.79</v>
      </c>
      <c r="I76" s="21">
        <v>36.79</v>
      </c>
      <c r="J76" s="17" t="s">
        <v>97</v>
      </c>
      <c r="K76" s="22">
        <v>31650</v>
      </c>
      <c r="L76" s="18">
        <v>38</v>
      </c>
      <c r="M76" s="17" t="s">
        <v>604</v>
      </c>
      <c r="N76" s="17" t="s">
        <v>167</v>
      </c>
      <c r="O76" s="18">
        <v>2359</v>
      </c>
      <c r="P76" s="17" t="s">
        <v>86</v>
      </c>
      <c r="Q76" s="17" t="s">
        <v>87</v>
      </c>
      <c r="R76" s="17" t="s">
        <v>93</v>
      </c>
      <c r="S76" s="17" t="s">
        <v>94</v>
      </c>
      <c r="T76" s="17"/>
      <c r="U76" s="17"/>
      <c r="V76" s="17" t="s">
        <v>160</v>
      </c>
      <c r="W76" s="20"/>
      <c r="X76" s="20"/>
      <c r="Y76" s="17" t="s">
        <v>106</v>
      </c>
      <c r="Z76" s="20"/>
      <c r="AA76" s="17"/>
      <c r="AB76" s="17"/>
      <c r="AC76" s="17"/>
      <c r="AD76" s="17" t="s">
        <v>91</v>
      </c>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t="s">
        <v>91</v>
      </c>
      <c r="BM76" s="17"/>
      <c r="BN76" s="17"/>
      <c r="BO76" s="17"/>
      <c r="BP76" s="17"/>
      <c r="BQ76" s="17"/>
      <c r="BR76" s="17" t="s">
        <v>91</v>
      </c>
      <c r="BS76" s="17" t="s">
        <v>91</v>
      </c>
      <c r="BT76" s="17"/>
      <c r="BU76" s="17" t="s">
        <v>605</v>
      </c>
      <c r="BV76" s="17" t="s">
        <v>606</v>
      </c>
      <c r="BW76" s="20"/>
      <c r="BX76" s="20"/>
      <c r="BY76" s="17" t="s">
        <v>91</v>
      </c>
      <c r="BZ76" s="17" t="s">
        <v>607</v>
      </c>
      <c r="CA76" s="17" t="s">
        <v>92</v>
      </c>
      <c r="CB76" s="17" t="s">
        <v>608</v>
      </c>
      <c r="CC76" s="17" t="s">
        <v>609</v>
      </c>
      <c r="CD76" s="17" t="s">
        <v>610</v>
      </c>
      <c r="CE76" s="17" t="s">
        <v>611</v>
      </c>
      <c r="CF76" s="17" t="s">
        <v>91</v>
      </c>
    </row>
    <row r="77" spans="1:84" ht="15" x14ac:dyDescent="0.2">
      <c r="A77" s="17" t="s">
        <v>225</v>
      </c>
      <c r="B77" s="18">
        <v>49768036</v>
      </c>
      <c r="C77" s="19">
        <v>45465.495138888888</v>
      </c>
      <c r="D77" s="17" t="s">
        <v>612</v>
      </c>
      <c r="E77" s="17" t="s">
        <v>168</v>
      </c>
      <c r="F77" s="23"/>
      <c r="G77" s="21">
        <v>725</v>
      </c>
      <c r="H77" s="21">
        <v>755.84</v>
      </c>
      <c r="I77" s="21">
        <v>30.84</v>
      </c>
      <c r="J77" s="17" t="s">
        <v>84</v>
      </c>
      <c r="K77" s="22">
        <v>32287</v>
      </c>
      <c r="L77" s="18">
        <v>35</v>
      </c>
      <c r="M77" s="17" t="s">
        <v>181</v>
      </c>
      <c r="N77" s="17" t="s">
        <v>164</v>
      </c>
      <c r="O77" s="18">
        <v>20814</v>
      </c>
      <c r="P77" s="17" t="s">
        <v>86</v>
      </c>
      <c r="Q77" s="17" t="s">
        <v>87</v>
      </c>
      <c r="R77" s="17" t="s">
        <v>98</v>
      </c>
      <c r="S77" s="17" t="s">
        <v>94</v>
      </c>
      <c r="T77" s="17"/>
      <c r="U77" s="17" t="s">
        <v>159</v>
      </c>
      <c r="V77" s="20"/>
      <c r="W77" s="17"/>
      <c r="X77" s="17"/>
      <c r="Y77" s="17" t="s">
        <v>95</v>
      </c>
      <c r="Z77" s="17"/>
      <c r="AA77" s="17"/>
      <c r="AB77" s="17"/>
      <c r="AC77" s="17"/>
      <c r="AD77" s="17" t="s">
        <v>91</v>
      </c>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t="s">
        <v>91</v>
      </c>
      <c r="BR77" s="17" t="s">
        <v>91</v>
      </c>
      <c r="BS77" s="17" t="s">
        <v>91</v>
      </c>
      <c r="BT77" s="17"/>
      <c r="BU77" s="17" t="s">
        <v>613</v>
      </c>
      <c r="BV77" s="17"/>
      <c r="BW77" s="17"/>
      <c r="BX77" s="17" t="s">
        <v>614</v>
      </c>
      <c r="BY77" s="17" t="s">
        <v>92</v>
      </c>
      <c r="BZ77" s="17"/>
      <c r="CA77" s="17" t="s">
        <v>92</v>
      </c>
      <c r="CB77" s="17" t="s">
        <v>149</v>
      </c>
      <c r="CC77" s="17"/>
      <c r="CD77" s="17" t="s">
        <v>615</v>
      </c>
      <c r="CE77" s="20"/>
      <c r="CF77" s="17" t="s">
        <v>91</v>
      </c>
    </row>
    <row r="78" spans="1:84" ht="15" x14ac:dyDescent="0.2">
      <c r="A78" s="17" t="s">
        <v>225</v>
      </c>
      <c r="B78" s="18">
        <v>46948304</v>
      </c>
      <c r="C78" s="19">
        <v>45377.923611111109</v>
      </c>
      <c r="D78" s="17" t="s">
        <v>616</v>
      </c>
      <c r="E78" s="17" t="s">
        <v>145</v>
      </c>
      <c r="F78" s="20"/>
      <c r="G78" s="21">
        <v>599</v>
      </c>
      <c r="H78" s="21">
        <v>625.13</v>
      </c>
      <c r="I78" s="21">
        <v>26.14</v>
      </c>
      <c r="J78" s="17" t="s">
        <v>84</v>
      </c>
      <c r="K78" s="22">
        <v>32197</v>
      </c>
      <c r="L78" s="18">
        <v>35</v>
      </c>
      <c r="M78" s="17" t="s">
        <v>171</v>
      </c>
      <c r="N78" s="17" t="s">
        <v>162</v>
      </c>
      <c r="O78" s="18">
        <v>10075</v>
      </c>
      <c r="P78" s="17" t="s">
        <v>86</v>
      </c>
      <c r="Q78" s="17" t="s">
        <v>87</v>
      </c>
      <c r="R78" s="17" t="s">
        <v>98</v>
      </c>
      <c r="S78" s="17" t="s">
        <v>94</v>
      </c>
      <c r="T78" s="17"/>
      <c r="U78" s="17" t="s">
        <v>159</v>
      </c>
      <c r="V78" s="20"/>
      <c r="W78" s="17"/>
      <c r="X78" s="17"/>
      <c r="Y78" s="17" t="s">
        <v>100</v>
      </c>
      <c r="Z78" s="17"/>
      <c r="AA78" s="17" t="s">
        <v>91</v>
      </c>
      <c r="AB78" s="17" t="s">
        <v>91</v>
      </c>
      <c r="AC78" s="17"/>
      <c r="AD78" s="17"/>
      <c r="AE78" s="17"/>
      <c r="AF78" s="17"/>
      <c r="AG78" s="17"/>
      <c r="AH78" s="17"/>
      <c r="AI78" s="17"/>
      <c r="AJ78" s="17"/>
      <c r="AK78" s="17" t="s">
        <v>91</v>
      </c>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t="s">
        <v>91</v>
      </c>
      <c r="BT78" s="17"/>
      <c r="BU78" s="17" t="s">
        <v>254</v>
      </c>
      <c r="BV78" s="17"/>
      <c r="BW78" s="17"/>
      <c r="BX78" s="17"/>
      <c r="BY78" s="17" t="s">
        <v>92</v>
      </c>
      <c r="BZ78" s="17"/>
      <c r="CA78" s="17" t="s">
        <v>92</v>
      </c>
      <c r="CB78" s="17" t="s">
        <v>617</v>
      </c>
      <c r="CC78" s="17" t="s">
        <v>618</v>
      </c>
      <c r="CD78" s="17" t="s">
        <v>96</v>
      </c>
      <c r="CE78" s="17" t="s">
        <v>619</v>
      </c>
      <c r="CF78" s="17" t="s">
        <v>91</v>
      </c>
    </row>
    <row r="79" spans="1:84" ht="15" x14ac:dyDescent="0.2">
      <c r="A79" s="17" t="s">
        <v>225</v>
      </c>
      <c r="B79" s="18">
        <v>48552858</v>
      </c>
      <c r="C79" s="19">
        <v>45422.740277777775</v>
      </c>
      <c r="D79" s="17" t="s">
        <v>620</v>
      </c>
      <c r="E79" s="17" t="s">
        <v>168</v>
      </c>
      <c r="F79" s="23"/>
      <c r="G79" s="21">
        <v>725</v>
      </c>
      <c r="H79" s="21">
        <v>758</v>
      </c>
      <c r="I79" s="21">
        <v>33</v>
      </c>
      <c r="J79" s="17" t="s">
        <v>84</v>
      </c>
      <c r="K79" s="22">
        <v>33339</v>
      </c>
      <c r="L79" s="18">
        <v>33</v>
      </c>
      <c r="M79" s="17" t="s">
        <v>621</v>
      </c>
      <c r="N79" s="17" t="s">
        <v>164</v>
      </c>
      <c r="O79" s="18">
        <v>20770</v>
      </c>
      <c r="P79" s="17" t="s">
        <v>86</v>
      </c>
      <c r="Q79" s="17" t="s">
        <v>87</v>
      </c>
      <c r="R79" s="17" t="s">
        <v>98</v>
      </c>
      <c r="S79" s="17" t="s">
        <v>94</v>
      </c>
      <c r="T79" s="17"/>
      <c r="U79" s="17" t="s">
        <v>161</v>
      </c>
      <c r="V79" s="17"/>
      <c r="W79" s="17"/>
      <c r="X79" s="17"/>
      <c r="Y79" s="17" t="s">
        <v>100</v>
      </c>
      <c r="Z79" s="17"/>
      <c r="AA79" s="17"/>
      <c r="AB79" s="17" t="s">
        <v>91</v>
      </c>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t="s">
        <v>91</v>
      </c>
      <c r="BG79" s="17"/>
      <c r="BH79" s="17"/>
      <c r="BI79" s="17"/>
      <c r="BJ79" s="17"/>
      <c r="BK79" s="17"/>
      <c r="BL79" s="17" t="s">
        <v>91</v>
      </c>
      <c r="BM79" s="17"/>
      <c r="BN79" s="17"/>
      <c r="BO79" s="17"/>
      <c r="BP79" s="17"/>
      <c r="BQ79" s="17"/>
      <c r="BR79" s="17"/>
      <c r="BS79" s="17" t="s">
        <v>91</v>
      </c>
      <c r="BT79" s="17"/>
      <c r="BU79" s="17" t="s">
        <v>622</v>
      </c>
      <c r="BV79" s="17" t="s">
        <v>623</v>
      </c>
      <c r="BW79" s="20"/>
      <c r="BX79" s="20"/>
      <c r="BY79" s="17" t="s">
        <v>92</v>
      </c>
      <c r="BZ79" s="17"/>
      <c r="CA79" s="17" t="s">
        <v>92</v>
      </c>
      <c r="CB79" s="17" t="s">
        <v>624</v>
      </c>
      <c r="CC79" s="17" t="s">
        <v>625</v>
      </c>
      <c r="CD79" s="17" t="s">
        <v>626</v>
      </c>
      <c r="CE79" s="17" t="s">
        <v>627</v>
      </c>
      <c r="CF79" s="17" t="s">
        <v>91</v>
      </c>
    </row>
    <row r="80" spans="1:84" ht="15" x14ac:dyDescent="0.2">
      <c r="A80" s="17" t="s">
        <v>225</v>
      </c>
      <c r="B80" s="18">
        <v>49806624</v>
      </c>
      <c r="C80" s="19">
        <v>45466.881249999999</v>
      </c>
      <c r="D80" s="17" t="s">
        <v>628</v>
      </c>
      <c r="E80" s="17" t="s">
        <v>168</v>
      </c>
      <c r="F80" s="17" t="s">
        <v>186</v>
      </c>
      <c r="G80" s="21">
        <v>725</v>
      </c>
      <c r="H80" s="21">
        <v>446.6</v>
      </c>
      <c r="I80" s="21">
        <v>21.6</v>
      </c>
      <c r="J80" s="17" t="s">
        <v>97</v>
      </c>
      <c r="K80" s="22">
        <v>30626</v>
      </c>
      <c r="L80" s="18">
        <v>40</v>
      </c>
      <c r="M80" s="17" t="s">
        <v>171</v>
      </c>
      <c r="N80" s="17" t="s">
        <v>162</v>
      </c>
      <c r="O80" s="18">
        <v>10040</v>
      </c>
      <c r="P80" s="17" t="s">
        <v>86</v>
      </c>
      <c r="Q80" s="17" t="s">
        <v>87</v>
      </c>
      <c r="R80" s="17" t="s">
        <v>88</v>
      </c>
      <c r="S80" s="17" t="s">
        <v>94</v>
      </c>
      <c r="T80" s="17"/>
      <c r="U80" s="17" t="s">
        <v>151</v>
      </c>
      <c r="V80" s="20"/>
      <c r="W80" s="17"/>
      <c r="X80" s="17" t="s">
        <v>629</v>
      </c>
      <c r="Y80" s="17" t="s">
        <v>95</v>
      </c>
      <c r="Z80" s="17"/>
      <c r="AA80" s="17"/>
      <c r="AB80" s="17"/>
      <c r="AC80" s="17"/>
      <c r="AD80" s="17" t="s">
        <v>91</v>
      </c>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t="s">
        <v>91</v>
      </c>
      <c r="BM80" s="17"/>
      <c r="BN80" s="17"/>
      <c r="BO80" s="17"/>
      <c r="BP80" s="17"/>
      <c r="BQ80" s="17"/>
      <c r="BR80" s="17"/>
      <c r="BS80" s="17"/>
      <c r="BT80" s="17" t="s">
        <v>91</v>
      </c>
      <c r="BU80" s="17"/>
      <c r="BV80" s="17" t="s">
        <v>630</v>
      </c>
      <c r="BW80" s="20"/>
      <c r="BX80" s="17"/>
      <c r="BY80" s="17" t="s">
        <v>92</v>
      </c>
      <c r="BZ80" s="17"/>
      <c r="CA80" s="17" t="s">
        <v>92</v>
      </c>
      <c r="CB80" s="17" t="s">
        <v>631</v>
      </c>
      <c r="CC80" s="17" t="s">
        <v>632</v>
      </c>
      <c r="CD80" s="17" t="s">
        <v>633</v>
      </c>
      <c r="CE80" s="20"/>
      <c r="CF80" s="17" t="s">
        <v>91</v>
      </c>
    </row>
    <row r="81" spans="1:84" ht="15" x14ac:dyDescent="0.2">
      <c r="A81" s="17" t="s">
        <v>225</v>
      </c>
      <c r="B81" s="18">
        <v>46958628</v>
      </c>
      <c r="C81" s="19">
        <v>45378.508333333331</v>
      </c>
      <c r="D81" s="17" t="s">
        <v>634</v>
      </c>
      <c r="E81" s="17" t="s">
        <v>145</v>
      </c>
      <c r="F81" s="23"/>
      <c r="G81" s="21">
        <v>599</v>
      </c>
      <c r="H81" s="21">
        <v>626.91</v>
      </c>
      <c r="I81" s="21">
        <v>27.92</v>
      </c>
      <c r="J81" s="17" t="s">
        <v>97</v>
      </c>
      <c r="K81" s="22">
        <v>34138</v>
      </c>
      <c r="L81" s="18">
        <v>31</v>
      </c>
      <c r="M81" s="17" t="s">
        <v>169</v>
      </c>
      <c r="N81" s="17" t="s">
        <v>170</v>
      </c>
      <c r="O81" s="18">
        <v>20001</v>
      </c>
      <c r="P81" s="17" t="s">
        <v>86</v>
      </c>
      <c r="Q81" s="17" t="s">
        <v>87</v>
      </c>
      <c r="R81" s="17" t="s">
        <v>105</v>
      </c>
      <c r="S81" s="17" t="s">
        <v>94</v>
      </c>
      <c r="T81" s="17"/>
      <c r="U81" s="17" t="s">
        <v>151</v>
      </c>
      <c r="V81" s="20"/>
      <c r="W81" s="17"/>
      <c r="X81" s="17" t="s">
        <v>556</v>
      </c>
      <c r="Y81" s="17" t="s">
        <v>106</v>
      </c>
      <c r="Z81" s="20"/>
      <c r="AA81" s="17"/>
      <c r="AB81" s="17" t="s">
        <v>91</v>
      </c>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t="s">
        <v>91</v>
      </c>
      <c r="BM81" s="17"/>
      <c r="BN81" s="17"/>
      <c r="BO81" s="17"/>
      <c r="BP81" s="17"/>
      <c r="BQ81" s="17"/>
      <c r="BR81" s="17" t="s">
        <v>91</v>
      </c>
      <c r="BS81" s="17" t="s">
        <v>91</v>
      </c>
      <c r="BT81" s="17"/>
      <c r="BU81" s="17" t="s">
        <v>635</v>
      </c>
      <c r="BV81" s="17" t="s">
        <v>556</v>
      </c>
      <c r="BW81" s="17"/>
      <c r="BX81" s="17"/>
      <c r="BY81" s="17" t="s">
        <v>92</v>
      </c>
      <c r="BZ81" s="17"/>
      <c r="CA81" s="17" t="s">
        <v>92</v>
      </c>
      <c r="CB81" s="17" t="s">
        <v>636</v>
      </c>
      <c r="CC81" s="17" t="s">
        <v>637</v>
      </c>
      <c r="CD81" s="17" t="s">
        <v>137</v>
      </c>
      <c r="CE81" s="17"/>
      <c r="CF81" s="17" t="s">
        <v>91</v>
      </c>
    </row>
    <row r="82" spans="1:84" ht="15" x14ac:dyDescent="0.2">
      <c r="A82" s="17" t="s">
        <v>225</v>
      </c>
      <c r="B82" s="18">
        <v>49918814</v>
      </c>
      <c r="C82" s="19">
        <v>45471.454861111109</v>
      </c>
      <c r="D82" s="17" t="s">
        <v>638</v>
      </c>
      <c r="E82" s="17" t="s">
        <v>168</v>
      </c>
      <c r="F82" s="23"/>
      <c r="G82" s="21">
        <v>725</v>
      </c>
      <c r="H82" s="21">
        <v>758</v>
      </c>
      <c r="I82" s="21">
        <v>33</v>
      </c>
      <c r="J82" s="17" t="s">
        <v>84</v>
      </c>
      <c r="K82" s="22">
        <v>34522</v>
      </c>
      <c r="L82" s="18">
        <v>29</v>
      </c>
      <c r="M82" s="17" t="s">
        <v>173</v>
      </c>
      <c r="N82" s="17" t="s">
        <v>162</v>
      </c>
      <c r="O82" s="18">
        <v>11217</v>
      </c>
      <c r="P82" s="17" t="s">
        <v>86</v>
      </c>
      <c r="Q82" s="17" t="s">
        <v>87</v>
      </c>
      <c r="R82" s="17" t="s">
        <v>98</v>
      </c>
      <c r="S82" s="17" t="s">
        <v>89</v>
      </c>
      <c r="T82" s="17"/>
      <c r="U82" s="17" t="s">
        <v>147</v>
      </c>
      <c r="V82" s="20"/>
      <c r="W82" s="17"/>
      <c r="X82" s="17"/>
      <c r="Y82" s="17" t="s">
        <v>103</v>
      </c>
      <c r="Z82" s="20"/>
      <c r="AA82" s="17"/>
      <c r="AB82" s="17" t="s">
        <v>91</v>
      </c>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t="s">
        <v>91</v>
      </c>
      <c r="BE82" s="17" t="s">
        <v>91</v>
      </c>
      <c r="BF82" s="17"/>
      <c r="BG82" s="17" t="s">
        <v>639</v>
      </c>
      <c r="BH82" s="20"/>
      <c r="BI82" s="20"/>
      <c r="BJ82" s="17"/>
      <c r="BK82" s="17" t="s">
        <v>92</v>
      </c>
      <c r="BL82" s="17"/>
      <c r="BM82" s="17" t="s">
        <v>148</v>
      </c>
      <c r="BN82" s="17" t="s">
        <v>640</v>
      </c>
      <c r="BO82" s="17" t="s">
        <v>641</v>
      </c>
      <c r="BP82" s="17" t="s">
        <v>109</v>
      </c>
      <c r="BQ82" s="17"/>
      <c r="BR82" s="17" t="s">
        <v>91</v>
      </c>
      <c r="BS82" s="17"/>
      <c r="BT82" s="17"/>
      <c r="BU82" s="17"/>
      <c r="BV82" s="17"/>
      <c r="BW82" s="17"/>
      <c r="BX82" s="17"/>
      <c r="BY82" s="17"/>
      <c r="BZ82" s="17"/>
      <c r="CA82" s="17"/>
      <c r="CB82" s="17"/>
      <c r="CC82" s="17"/>
      <c r="CD82" s="17"/>
      <c r="CE82" s="17"/>
      <c r="CF82" s="17"/>
    </row>
    <row r="83" spans="1:84" ht="15" x14ac:dyDescent="0.2">
      <c r="A83" s="17" t="s">
        <v>225</v>
      </c>
      <c r="B83" s="18">
        <v>50010949</v>
      </c>
      <c r="C83" s="19">
        <v>45473.515972222223</v>
      </c>
      <c r="D83" s="17" t="s">
        <v>642</v>
      </c>
      <c r="E83" s="17" t="s">
        <v>168</v>
      </c>
      <c r="F83" s="23"/>
      <c r="G83" s="21">
        <v>725</v>
      </c>
      <c r="H83" s="21">
        <v>755.84</v>
      </c>
      <c r="I83" s="21">
        <v>30.84</v>
      </c>
      <c r="J83" s="17" t="s">
        <v>97</v>
      </c>
      <c r="K83" s="22">
        <v>34858</v>
      </c>
      <c r="L83" s="18">
        <v>29</v>
      </c>
      <c r="M83" s="17" t="s">
        <v>218</v>
      </c>
      <c r="N83" s="17" t="s">
        <v>162</v>
      </c>
      <c r="O83" s="18">
        <v>11375</v>
      </c>
      <c r="P83" s="17" t="s">
        <v>86</v>
      </c>
      <c r="Q83" s="17" t="s">
        <v>87</v>
      </c>
      <c r="R83" s="17" t="s">
        <v>88</v>
      </c>
      <c r="S83" s="17" t="s">
        <v>94</v>
      </c>
      <c r="T83" s="17"/>
      <c r="U83" s="17" t="s">
        <v>151</v>
      </c>
      <c r="V83" s="20"/>
      <c r="W83" s="17"/>
      <c r="X83" s="17" t="s">
        <v>643</v>
      </c>
      <c r="Y83" s="17" t="s">
        <v>103</v>
      </c>
      <c r="Z83" s="20"/>
      <c r="AA83" s="17"/>
      <c r="AB83" s="17"/>
      <c r="AC83" s="17"/>
      <c r="AD83" s="17" t="s">
        <v>91</v>
      </c>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t="s">
        <v>91</v>
      </c>
      <c r="BF83" s="17"/>
      <c r="BG83" s="17" t="s">
        <v>644</v>
      </c>
      <c r="BH83" s="17" t="s">
        <v>643</v>
      </c>
      <c r="BI83" s="20"/>
      <c r="BJ83" s="17"/>
      <c r="BK83" s="17" t="s">
        <v>92</v>
      </c>
      <c r="BL83" s="17"/>
      <c r="BM83" s="17" t="s">
        <v>92</v>
      </c>
      <c r="BN83" s="17" t="s">
        <v>645</v>
      </c>
      <c r="BO83" s="17" t="s">
        <v>646</v>
      </c>
      <c r="BP83" s="17" t="s">
        <v>179</v>
      </c>
      <c r="BQ83" s="17" t="s">
        <v>92</v>
      </c>
      <c r="BR83" s="17" t="s">
        <v>91</v>
      </c>
      <c r="BS83" s="17"/>
      <c r="BT83" s="17"/>
      <c r="BU83" s="17"/>
      <c r="BV83" s="17"/>
      <c r="BW83" s="17"/>
      <c r="BX83" s="17"/>
      <c r="BY83" s="17"/>
      <c r="BZ83" s="17"/>
      <c r="CA83" s="17"/>
      <c r="CB83" s="17"/>
      <c r="CC83" s="17"/>
      <c r="CD83" s="17"/>
      <c r="CE83" s="17"/>
      <c r="CF83" s="17"/>
    </row>
    <row r="84" spans="1:84" ht="15" x14ac:dyDescent="0.2">
      <c r="A84" s="17" t="s">
        <v>225</v>
      </c>
      <c r="B84" s="18">
        <v>50109917</v>
      </c>
      <c r="C84" s="19">
        <v>45476.896527777775</v>
      </c>
      <c r="D84" s="17" t="s">
        <v>647</v>
      </c>
      <c r="E84" s="17" t="s">
        <v>168</v>
      </c>
      <c r="F84" s="23"/>
      <c r="G84" s="21">
        <v>725</v>
      </c>
      <c r="H84" s="21">
        <v>835.84</v>
      </c>
      <c r="I84" s="21">
        <v>35.840000000000003</v>
      </c>
      <c r="J84" s="17" t="s">
        <v>84</v>
      </c>
      <c r="K84" s="22">
        <v>33743</v>
      </c>
      <c r="L84" s="18">
        <v>32</v>
      </c>
      <c r="M84" s="17" t="s">
        <v>158</v>
      </c>
      <c r="N84" s="17" t="s">
        <v>116</v>
      </c>
      <c r="O84" s="18">
        <v>33304</v>
      </c>
      <c r="P84" s="17" t="s">
        <v>86</v>
      </c>
      <c r="Q84" s="17" t="s">
        <v>87</v>
      </c>
      <c r="R84" s="17" t="s">
        <v>88</v>
      </c>
      <c r="S84" s="17" t="s">
        <v>94</v>
      </c>
      <c r="T84" s="17"/>
      <c r="U84" s="17" t="s">
        <v>159</v>
      </c>
      <c r="V84" s="20"/>
      <c r="W84" s="17"/>
      <c r="X84" s="17"/>
      <c r="Y84" s="17" t="s">
        <v>103</v>
      </c>
      <c r="Z84" s="20"/>
      <c r="AA84" s="17" t="s">
        <v>91</v>
      </c>
      <c r="AB84" s="17" t="s">
        <v>91</v>
      </c>
      <c r="AC84" s="17" t="s">
        <v>91</v>
      </c>
      <c r="AD84" s="17"/>
      <c r="AE84" s="17"/>
      <c r="AF84" s="17"/>
      <c r="AG84" s="17"/>
      <c r="AH84" s="17"/>
      <c r="AI84" s="17"/>
      <c r="AJ84" s="17"/>
      <c r="AK84" s="17"/>
      <c r="AL84" s="17" t="s">
        <v>91</v>
      </c>
      <c r="AM84" s="17"/>
      <c r="AN84" s="17"/>
      <c r="AO84" s="17"/>
      <c r="AP84" s="17"/>
      <c r="AQ84" s="17"/>
      <c r="AR84" s="17"/>
      <c r="AS84" s="17"/>
      <c r="AT84" s="17"/>
      <c r="AU84" s="17"/>
      <c r="AV84" s="17"/>
      <c r="AW84" s="17"/>
      <c r="AX84" s="17"/>
      <c r="AY84" s="17"/>
      <c r="AZ84" s="17"/>
      <c r="BA84" s="17"/>
      <c r="BB84" s="17"/>
      <c r="BC84" s="17"/>
      <c r="BD84" s="17" t="s">
        <v>91</v>
      </c>
      <c r="BE84" s="17"/>
      <c r="BF84" s="17"/>
      <c r="BG84" s="17" t="s">
        <v>648</v>
      </c>
      <c r="BH84" s="20"/>
      <c r="BI84" s="20"/>
      <c r="BJ84" s="17"/>
      <c r="BK84" s="17" t="s">
        <v>92</v>
      </c>
      <c r="BL84" s="17"/>
      <c r="BM84" s="17" t="s">
        <v>148</v>
      </c>
      <c r="BN84" s="17" t="s">
        <v>649</v>
      </c>
      <c r="BO84" s="17" t="s">
        <v>650</v>
      </c>
      <c r="BP84" s="17" t="s">
        <v>651</v>
      </c>
      <c r="BQ84" s="20"/>
      <c r="BR84" s="17" t="s">
        <v>91</v>
      </c>
      <c r="BS84" s="17"/>
      <c r="BT84" s="17"/>
      <c r="BU84" s="17"/>
      <c r="BV84" s="17"/>
      <c r="BW84" s="17"/>
      <c r="BX84" s="17"/>
      <c r="BY84" s="17"/>
      <c r="BZ84" s="17"/>
      <c r="CA84" s="17"/>
      <c r="CB84" s="17"/>
      <c r="CC84" s="17"/>
      <c r="CD84" s="17"/>
      <c r="CE84" s="17"/>
      <c r="CF84" s="17"/>
    </row>
    <row r="85" spans="1:84" ht="15" x14ac:dyDescent="0.2">
      <c r="A85" s="17" t="s">
        <v>225</v>
      </c>
      <c r="B85" s="18">
        <v>50166230</v>
      </c>
      <c r="C85" s="19">
        <v>45479.006249999999</v>
      </c>
      <c r="D85" s="17" t="s">
        <v>652</v>
      </c>
      <c r="E85" s="17" t="s">
        <v>168</v>
      </c>
      <c r="F85" s="23"/>
      <c r="G85" s="21">
        <v>725</v>
      </c>
      <c r="H85" s="21">
        <v>835.84</v>
      </c>
      <c r="I85" s="21">
        <v>35.840000000000003</v>
      </c>
      <c r="J85" s="17" t="s">
        <v>97</v>
      </c>
      <c r="K85" s="22">
        <v>31177</v>
      </c>
      <c r="L85" s="18">
        <v>38</v>
      </c>
      <c r="M85" s="17" t="s">
        <v>171</v>
      </c>
      <c r="N85" s="17" t="s">
        <v>162</v>
      </c>
      <c r="O85" s="18">
        <v>10023</v>
      </c>
      <c r="P85" s="17" t="s">
        <v>86</v>
      </c>
      <c r="Q85" s="17" t="s">
        <v>87</v>
      </c>
      <c r="R85" s="17" t="s">
        <v>98</v>
      </c>
      <c r="S85" s="17" t="s">
        <v>94</v>
      </c>
      <c r="T85" s="17"/>
      <c r="U85" s="17" t="s">
        <v>151</v>
      </c>
      <c r="V85" s="20"/>
      <c r="W85" s="17"/>
      <c r="X85" s="17"/>
      <c r="Y85" s="17" t="s">
        <v>95</v>
      </c>
      <c r="Z85" s="17"/>
      <c r="AA85" s="17"/>
      <c r="AB85" s="17"/>
      <c r="AC85" s="17"/>
      <c r="AD85" s="17" t="s">
        <v>91</v>
      </c>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t="s">
        <v>91</v>
      </c>
      <c r="BF85" s="17"/>
      <c r="BG85" s="17" t="s">
        <v>653</v>
      </c>
      <c r="BH85" s="20"/>
      <c r="BI85" s="20"/>
      <c r="BJ85" s="17"/>
      <c r="BK85" s="17" t="s">
        <v>92</v>
      </c>
      <c r="BL85" s="17"/>
      <c r="BM85" s="17" t="s">
        <v>148</v>
      </c>
      <c r="BN85" s="17" t="s">
        <v>654</v>
      </c>
      <c r="BO85" s="17" t="s">
        <v>655</v>
      </c>
      <c r="BP85" s="17" t="s">
        <v>656</v>
      </c>
      <c r="BQ85" s="17"/>
      <c r="BR85" s="17" t="s">
        <v>91</v>
      </c>
      <c r="BS85" s="17"/>
      <c r="BT85" s="17"/>
      <c r="BU85" s="17"/>
      <c r="BV85" s="17"/>
      <c r="BW85" s="17"/>
      <c r="BX85" s="17"/>
      <c r="BY85" s="17"/>
      <c r="BZ85" s="17"/>
      <c r="CA85" s="17"/>
      <c r="CB85" s="17"/>
      <c r="CC85" s="17"/>
      <c r="CD85" s="17"/>
      <c r="CE85" s="17"/>
      <c r="CF85"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Dashboards</vt:lpstr>
      <vt:lpstr>Summary tables</vt:lpstr>
      <vt:lpstr>Playground</vt:lpstr>
      <vt:lpstr>Data Dictionary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Hillel Morris</cp:lastModifiedBy>
  <dcterms:created xsi:type="dcterms:W3CDTF">2026-02-23T17:36:26Z</dcterms:created>
  <dcterms:modified xsi:type="dcterms:W3CDTF">2026-02-23T17:36:26Z</dcterms:modified>
</cp:coreProperties>
</file>