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hillelmorris/Downloads/"/>
    </mc:Choice>
  </mc:AlternateContent>
  <xr:revisionPtr revIDLastSave="0" documentId="8_{4782911C-A440-4747-811F-02AEC2E93B5B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Dashboards" sheetId="9" r:id="rId1"/>
    <sheet name="Summary tables" sheetId="8" r:id="rId2"/>
    <sheet name="Playground" sheetId="7" r:id="rId3"/>
    <sheet name="Data Dictionary" sheetId="2" r:id="rId4"/>
    <sheet name="Data" sheetId="6" r:id="rId5"/>
  </sheets>
  <calcPr calcId="0"/>
  <pivotCaches>
    <pivotCache cacheId="54" r:id="rId6"/>
  </pivotCaches>
  <extLst>
    <ext uri="GoogleSheetsCustomDataVersion2">
      <go:sheetsCustomData xmlns:go="http://customooxmlschemas.google.com/" r:id="rId7" roundtripDataChecksum="TSFJNAAAeYwpD6MlTF0mkxcVrQlCx4hLGAz09l5cJUQ="/>
    </ext>
  </extLst>
</workbook>
</file>

<file path=xl/sharedStrings.xml><?xml version="1.0" encoding="utf-8"?>
<sst xmlns="http://schemas.openxmlformats.org/spreadsheetml/2006/main" count="1649" uniqueCount="603">
  <si>
    <t>Camp</t>
  </si>
  <si>
    <t>Registration ID</t>
  </si>
  <si>
    <t>Registration Date</t>
  </si>
  <si>
    <t>Name (Last Name)</t>
  </si>
  <si>
    <t>Tickets</t>
  </si>
  <si>
    <t>Coupon Code (Code)</t>
  </si>
  <si>
    <t>Revenue</t>
  </si>
  <si>
    <t>Total Paid ($ Amount)</t>
  </si>
  <si>
    <t>Processing &amp; Fees ($ Amount)</t>
  </si>
  <si>
    <t>Gender</t>
  </si>
  <si>
    <t>Date of Birth</t>
  </si>
  <si>
    <t>Age</t>
  </si>
  <si>
    <t>Address (City)</t>
  </si>
  <si>
    <t>Address (State)</t>
  </si>
  <si>
    <t>Address (ZIP/Postal Code)</t>
  </si>
  <si>
    <t>Address (Country)</t>
  </si>
  <si>
    <t>I confirm that all attendees registered under this order are over the age of 21 and will bring proof of age (government-issued Photo ID) to check-in at camp.</t>
  </si>
  <si>
    <t>T-Shirt Size</t>
  </si>
  <si>
    <t>Do you have any dietary restrictions? (None)</t>
  </si>
  <si>
    <t>Please explain</t>
  </si>
  <si>
    <t>Do you have a cabin preference?</t>
  </si>
  <si>
    <t>Do you have a roommate request?</t>
  </si>
  <si>
    <t>Please list their full name</t>
  </si>
  <si>
    <t>Do you have any bunkmate requests? Please list their name(s)</t>
  </si>
  <si>
    <t>What's your Jewish background?</t>
  </si>
  <si>
    <t>What brings you to Trybal?</t>
  </si>
  <si>
    <t>Have you attended any Trybal Gatherings events in the past? (Yes, Trybal camps)</t>
  </si>
  <si>
    <t>Have you attended any Trybal Gatherings events in the past? (Yes, Trybal events)</t>
  </si>
  <si>
    <t>Have you attended any Trybal Gatherings events in the past? (Yes, Ambassador events)</t>
  </si>
  <si>
    <t>Is this your first time at a Trybal Gathering experience?</t>
  </si>
  <si>
    <t>Which camps? (Berkshires 2017)</t>
  </si>
  <si>
    <t>Which camps? (Berkshires 2018)</t>
  </si>
  <si>
    <t>Which camps? (Berkshires 2019)</t>
  </si>
  <si>
    <t>Which camps? (Berkshires 2021)</t>
  </si>
  <si>
    <t>Which camps? (Berkshires 2022 Session 1)</t>
  </si>
  <si>
    <t>Which camps? (Berkshires 2022 Session 2)</t>
  </si>
  <si>
    <t>Which camps? (Berkshires 2023 Session 1)</t>
  </si>
  <si>
    <t>Which camps? (Berkshires 2023 Session 2)</t>
  </si>
  <si>
    <t>Which camps? (SoCal 2017)</t>
  </si>
  <si>
    <t>Which camps? (SoCal 2018)</t>
  </si>
  <si>
    <t>Which camps? (SoCal 2019)</t>
  </si>
  <si>
    <t>Which camps? (SoCal 2021)</t>
  </si>
  <si>
    <t>Which camps? (SoCal 2022)</t>
  </si>
  <si>
    <t>Which camps? (SoCal 2023)</t>
  </si>
  <si>
    <t>Which camps? (Midwest 2018)</t>
  </si>
  <si>
    <t>Which camps? (Midwest 2019)</t>
  </si>
  <si>
    <t>Which camps? (Midwest 2022)</t>
  </si>
  <si>
    <t>Which camps? (Midwest 2023)</t>
  </si>
  <si>
    <t>Which camps? (Chicago Day Camp 2021)</t>
  </si>
  <si>
    <t>Which camps? (Chicago Day Camp 2023)</t>
  </si>
  <si>
    <t>Which camps? (Seattle Day Camp 2021)</t>
  </si>
  <si>
    <t>Which camps? (Atlanta Day Camp 2021)</t>
  </si>
  <si>
    <t>Which camps? (South 2022)</t>
  </si>
  <si>
    <t>Which camps? (LA Day Camp 2022)</t>
  </si>
  <si>
    <t>Which camps? (LA Day Camp 2023)</t>
  </si>
  <si>
    <t>How did you hear about Trybal? (I'm an alum)</t>
  </si>
  <si>
    <t>How did you hear about Trybal? (Another Trybal event)</t>
  </si>
  <si>
    <t>How did you hear about Trybal? (Jewish Federation of Greater Atlanta)</t>
  </si>
  <si>
    <t>How did you hear about Trybal? (Marcus JCC of Atlanta (MJCCA))</t>
  </si>
  <si>
    <t>How did you hear about Trybal? (The Temple)</t>
  </si>
  <si>
    <t>How did you hear about Trybal? (Honeymoon Israel)</t>
  </si>
  <si>
    <t>How did you hear about Trybal? (Friends)</t>
  </si>
  <si>
    <t>How did you hear about Trybal? (Facebook)</t>
  </si>
  <si>
    <t>How did you hear about Trybal? (Instagram)</t>
  </si>
  <si>
    <t>How did you hear about Trybal? (A family member)</t>
  </si>
  <si>
    <t>How did you hear about Trybal? (Internet search)</t>
  </si>
  <si>
    <t>How did you hear about Trybal? (Press)</t>
  </si>
  <si>
    <t>How did you hear about Trybal? (Another Jewish organization)</t>
  </si>
  <si>
    <t>How did you hear about Trybal? (Other)</t>
  </si>
  <si>
    <t>Did you ever attend camp as a kid or as a staff member? (Yes, day camp)</t>
  </si>
  <si>
    <t>Did you ever attend camp as a kid or as a staff member? (Yes, overnight camp)</t>
  </si>
  <si>
    <t>Did you ever attend camp as a kid or as a staff member? (No)</t>
  </si>
  <si>
    <t>Which camp(s)?</t>
  </si>
  <si>
    <t>Which friend(s)?</t>
  </si>
  <si>
    <t>Which other Jewish organization(s)?</t>
  </si>
  <si>
    <t>Where'd you hear about Trybal?</t>
  </si>
  <si>
    <t>Do you have any medical or accessibility considerations we should be aware of?</t>
  </si>
  <si>
    <t>Are you interested in taking the bus from NYC?</t>
  </si>
  <si>
    <t>What do you do for a living?</t>
  </si>
  <si>
    <t>Tell us a fun fact about yourself!</t>
  </si>
  <si>
    <t>What's your favorite midnight snack?</t>
  </si>
  <si>
    <t>Anything else you want us to know?</t>
  </si>
  <si>
    <t>Please accept this waiver in order to register for the event.</t>
  </si>
  <si>
    <t>Atlanta</t>
  </si>
  <si>
    <t>Male</t>
  </si>
  <si>
    <t>GA</t>
  </si>
  <si>
    <t>US</t>
  </si>
  <si>
    <t>Confirm</t>
  </si>
  <si>
    <t>M</t>
  </si>
  <si>
    <t>Kosher</t>
  </si>
  <si>
    <t>Yes</t>
  </si>
  <si>
    <t>No</t>
  </si>
  <si>
    <t>XL</t>
  </si>
  <si>
    <t>None</t>
  </si>
  <si>
    <t>Just Jewish</t>
  </si>
  <si>
    <t>Cereal</t>
  </si>
  <si>
    <t>Female</t>
  </si>
  <si>
    <t>L</t>
  </si>
  <si>
    <t>Other</t>
  </si>
  <si>
    <t>Reform</t>
  </si>
  <si>
    <t>Conservative</t>
  </si>
  <si>
    <t>S</t>
  </si>
  <si>
    <t>Culturally Jewish</t>
  </si>
  <si>
    <t>XXL</t>
  </si>
  <si>
    <t>Pizza</t>
  </si>
  <si>
    <t>Chocolate</t>
  </si>
  <si>
    <t>Ferenczy</t>
  </si>
  <si>
    <t>French fries</t>
  </si>
  <si>
    <t>-</t>
  </si>
  <si>
    <t>Gluten-free, Dairy-free</t>
  </si>
  <si>
    <t>PRESALE24</t>
  </si>
  <si>
    <t>Consulting</t>
  </si>
  <si>
    <t>Teacher</t>
  </si>
  <si>
    <t>Cookies</t>
  </si>
  <si>
    <t>IL</t>
  </si>
  <si>
    <t>FL</t>
  </si>
  <si>
    <t>Vegetarian</t>
  </si>
  <si>
    <t>Attorney</t>
  </si>
  <si>
    <t>N/A</t>
  </si>
  <si>
    <t>Levine</t>
  </si>
  <si>
    <t>Ramah</t>
  </si>
  <si>
    <t>Consultant</t>
  </si>
  <si>
    <t>Data Analyst</t>
  </si>
  <si>
    <t>NJ</t>
  </si>
  <si>
    <t>Rice</t>
  </si>
  <si>
    <t>Popcorn</t>
  </si>
  <si>
    <t>OSRUI</t>
  </si>
  <si>
    <t>Midwest</t>
  </si>
  <si>
    <t>alperstein</t>
  </si>
  <si>
    <t>Cabin Lodging | Early Bird</t>
  </si>
  <si>
    <t>Chicago</t>
  </si>
  <si>
    <t>Gluten-free, Other</t>
  </si>
  <si>
    <t>Fodmap</t>
  </si>
  <si>
    <t>No preference</t>
  </si>
  <si>
    <t>Someone new.</t>
  </si>
  <si>
    <t>Yes, send me more info</t>
  </si>
  <si>
    <t>Sales</t>
  </si>
  <si>
    <t>I've been to 32 countries.</t>
  </si>
  <si>
    <t>Food</t>
  </si>
  <si>
    <t>Austin</t>
  </si>
  <si>
    <t>Cedar Rapids</t>
  </si>
  <si>
    <t>IA</t>
  </si>
  <si>
    <t>Camp Herzl and Camp Osrui</t>
  </si>
  <si>
    <t>I play on a broomball team</t>
  </si>
  <si>
    <t>Anything with cheese</t>
  </si>
  <si>
    <t>I am newly back in Minnesota, looking to meet other folks new to the area and/or Jewish</t>
  </si>
  <si>
    <t>Baranes</t>
  </si>
  <si>
    <t>Female Cabin</t>
  </si>
  <si>
    <t>TBD</t>
  </si>
  <si>
    <t>Congregation Etz Chaim (Lombard, IL) - Rabbi Wainer</t>
  </si>
  <si>
    <t>Accountant at Google Chicago</t>
  </si>
  <si>
    <t>Can juggle 4 balls</t>
  </si>
  <si>
    <t>Super excited for a camp experience I never had! I converted to Judaism last year.</t>
  </si>
  <si>
    <t>Beatus</t>
  </si>
  <si>
    <t>SMORECHI</t>
  </si>
  <si>
    <t>Alyssa Schor, Liz rice, Melissa Fradkin, Hayley Alperstein, any Orlov</t>
  </si>
  <si>
    <t>Nock-a-Mixon</t>
  </si>
  <si>
    <t>Media planning supervisor</t>
  </si>
  <si>
    <t>Pretzels</t>
  </si>
  <si>
    <t>Cohen</t>
  </si>
  <si>
    <t>Private Lodging - Double | Early Bird</t>
  </si>
  <si>
    <t>Glendale</t>
  </si>
  <si>
    <t>WI</t>
  </si>
  <si>
    <t>Shea Thurling, 805-501-7565, JSThurling@gmail.com</t>
  </si>
  <si>
    <t>Jewish Summer Camps</t>
  </si>
  <si>
    <t>MD/PHD Student</t>
  </si>
  <si>
    <t>Competitive Horseback Rider</t>
  </si>
  <si>
    <t>Cooper</t>
  </si>
  <si>
    <t>St Louis</t>
  </si>
  <si>
    <t>MO</t>
  </si>
  <si>
    <t>David Coons, Eimileanne Delaney, Stacy Kaplan, Taylor Richier, Cameron Trejbal</t>
  </si>
  <si>
    <t>I have ADHD which primarily manifests with sensory processing issues, so I can get sensory overload very easily. I will just need to have access to a space where I can just chill.</t>
  </si>
  <si>
    <t>I work for a non-profit which supports underresourced youth by helping closing the gap in academic achievement and social emotional development. I work as the volunteer coordinator and I lead one of our sites.</t>
  </si>
  <si>
    <t>I have a degree from a French university (I also have a degree in French from an American university)</t>
  </si>
  <si>
    <t>a banana</t>
  </si>
  <si>
    <t>The country that shares the longest border with France is Brazil.</t>
  </si>
  <si>
    <t>Ehrmann</t>
  </si>
  <si>
    <t>Private Lodging - Double | Standard</t>
  </si>
  <si>
    <t>Non-Binary</t>
  </si>
  <si>
    <t>I'm attending with my partner, Cat McKay (she might have registered as Catherine). We would like to share a room with a queen bed instead of two twins.</t>
  </si>
  <si>
    <t>Ramah Day Camp, Camp Chi</t>
  </si>
  <si>
    <t>Maybe</t>
  </si>
  <si>
    <t>I'm an Australian citizen.</t>
  </si>
  <si>
    <t>Brownies</t>
  </si>
  <si>
    <t>feldman</t>
  </si>
  <si>
    <t>Private Lodging - Single | Early Bird</t>
  </si>
  <si>
    <t>winadu, birchmont</t>
  </si>
  <si>
    <t>lawyer</t>
  </si>
  <si>
    <t>i played the trumpet as a kid</t>
  </si>
  <si>
    <t>chips</t>
  </si>
  <si>
    <t>Feldman</t>
  </si>
  <si>
    <t>Fort Lauderdale</t>
  </si>
  <si>
    <t>Co-ed Cabin</t>
  </si>
  <si>
    <t>Sarah Goone</t>
  </si>
  <si>
    <t>Metalsmith</t>
  </si>
  <si>
    <t>I tend to do the worm at DJ'ed events</t>
  </si>
  <si>
    <t>Anything involving peanut butter</t>
  </si>
  <si>
    <t>Elmhurst</t>
  </si>
  <si>
    <t>Camp Isadore-Alterman</t>
  </si>
  <si>
    <t>Ehlers-Danlos Syndrome, Hypermobile Type. I am somewhat mobility disabled -- I use a forearm crutch to help me get around and sometimes required a helpful lift on a golfcart last year at the Trybal Midwest camp. Additionally, I can't really run, but we managed last year to make basically everything adaptive/adaptable for me.</t>
  </si>
  <si>
    <t>Student</t>
  </si>
  <si>
    <t>I make model cars?</t>
  </si>
  <si>
    <t>I'm a transgender man, or rather, I tend to refer to myself as a transman (as in an FTM, so I go by tradition male pronouns, ie he/him)</t>
  </si>
  <si>
    <t>Fleischmann</t>
  </si>
  <si>
    <t>town day camp</t>
  </si>
  <si>
    <t>Chronic constipation. I have to wake up early for the bathroom to be on time. Right ankle fracture screws and plate. No high-impact activities- running, jumping, kicking, etc.</t>
  </si>
  <si>
    <t>I like road trips.</t>
  </si>
  <si>
    <t>I like soda. Especially cherry vanilla Pepsi.</t>
  </si>
  <si>
    <t>Fradkin</t>
  </si>
  <si>
    <t>Glen Ellyn</t>
  </si>
  <si>
    <t>Alyssa Schor, Amy Orlov, Hayley Alperstein, Liz Rice, Skylar Beatus</t>
  </si>
  <si>
    <t>I volunteered on an archeological dig in Israel</t>
  </si>
  <si>
    <t>sour gummies</t>
  </si>
  <si>
    <t>Franklin</t>
  </si>
  <si>
    <t>Allergic to avocados and figs.</t>
  </si>
  <si>
    <t>Apachi Day Camp for many years and Camp Chi for one year.</t>
  </si>
  <si>
    <t>Traffic Manager</t>
  </si>
  <si>
    <t>I have a cat named Haru who I love very much.</t>
  </si>
  <si>
    <t>Anything sweet.</t>
  </si>
  <si>
    <t>I'm very excited for this!</t>
  </si>
  <si>
    <t>Friedman</t>
  </si>
  <si>
    <t>North Star Camp</t>
  </si>
  <si>
    <t>Paralegal</t>
  </si>
  <si>
    <t>Running my first marathon this year</t>
  </si>
  <si>
    <t>Goone</t>
  </si>
  <si>
    <t>Vegan, Dairy-free</t>
  </si>
  <si>
    <t>Nora Feldman and Andy Masters</t>
  </si>
  <si>
    <t>Harand</t>
  </si>
  <si>
    <t>Artist</t>
  </si>
  <si>
    <t>I used to be a puppet fabricator!</t>
  </si>
  <si>
    <t>A bowl of cereal</t>
  </si>
  <si>
    <t>Grosman</t>
  </si>
  <si>
    <t>Milwaukee</t>
  </si>
  <si>
    <t>Camp Nageela Midwest</t>
  </si>
  <si>
    <t>Studying for credentialing exam to become registered dietitian; babysitting, petsitting</t>
  </si>
  <si>
    <t>I ran a half marathon, called the Midnight Mile, via my middle school all 3 years.</t>
  </si>
  <si>
    <t>Either breakfast food or Ritz sour cream &amp; onion toasted chips</t>
  </si>
  <si>
    <t>I'd love to see yoga offered during a break or as a scheduled activity before bedtime (even better if it's parseired with a soundbath), not in the early morning. I'm not a morning person at all. I'd also love to see soundbath, zipline or ropes course, &amp; horseback riding offered this year. Vizzy's, Olipop (cream soda &amp; strawberry vanilla), &amp; Press are my fav drinks.</t>
  </si>
  <si>
    <t>Kamler</t>
  </si>
  <si>
    <t>Englewood</t>
  </si>
  <si>
    <t>CO</t>
  </si>
  <si>
    <t>I just don't eat red meat and/or mammals! Chicken and fish is fine :)</t>
  </si>
  <si>
    <t>No, assign me an awesome roommate!</t>
  </si>
  <si>
    <t>Girl Scout Camp in Missouri, Catholic Camp in Missouri (lol)</t>
  </si>
  <si>
    <t>I work at Temple Sholom of Chicago in Engagement &amp; Membership!</t>
  </si>
  <si>
    <t>I've performed onstage at Shakespeare's Globe Theatre in London!</t>
  </si>
  <si>
    <t>popcorn or frozen yogurt</t>
  </si>
  <si>
    <t>I'm fine with a random roommate and comfortable rooming with women (don't assign me to room with Rabbi Max from Temple Sholom)! I'm sober so appreciate some N/A options being available. I understand that gendered bathrooms are hard to avoid at older facilities, but a heads up of what the facilities are is nice so I can just be prepared mentally :)</t>
  </si>
  <si>
    <t>Kaplan</t>
  </si>
  <si>
    <t>Male Cabin</t>
  </si>
  <si>
    <t>Camp Seneca Lake</t>
  </si>
  <si>
    <t>I have a YouTube channel</t>
  </si>
  <si>
    <t>Gummies</t>
  </si>
  <si>
    <t>OSRUI, Camp George</t>
  </si>
  <si>
    <t>Event Planning</t>
  </si>
  <si>
    <t>I don't like any hot beverages including soup.</t>
  </si>
  <si>
    <t>Gummy Candy</t>
  </si>
  <si>
    <t>Kern</t>
  </si>
  <si>
    <t>New City</t>
  </si>
  <si>
    <t>NY</t>
  </si>
  <si>
    <t>Anyone from Berkshires. Rebecca Abraham, Brian’s Finkelstein (if going)</t>
  </si>
  <si>
    <t>Blue rill day camp , urj Eisner camp</t>
  </si>
  <si>
    <t>I went to Cuba for a study abroad in college.</t>
  </si>
  <si>
    <t>Sour patch watermelon</t>
  </si>
  <si>
    <t>Lambert</t>
  </si>
  <si>
    <t>Kosher, Dairy-free</t>
  </si>
  <si>
    <t>Benjamin C Lambert</t>
  </si>
  <si>
    <t>Greenwoods Camp (in Decatur, Michigan)</t>
  </si>
  <si>
    <t>Crohn's Disease, Asthma</t>
  </si>
  <si>
    <t>I am an Adolescent Therapist, working with adolescent boys in Chicago Public Schools!</t>
  </si>
  <si>
    <t>I like to throw knives for fun!</t>
  </si>
  <si>
    <t>Dry cereal (fight me)</t>
  </si>
  <si>
    <t>Only the cool kids</t>
  </si>
  <si>
    <t>Banner Day Camp, Lake of the Woods Overnight Camp, Beber Overnight Camp (staff)</t>
  </si>
  <si>
    <t>Promotional Product Sales aka swag/merch</t>
  </si>
  <si>
    <t>Received a lap dance from Weird Al</t>
  </si>
  <si>
    <t>Pretzels/Frosting</t>
  </si>
  <si>
    <t>Levy</t>
  </si>
  <si>
    <t>Evanston</t>
  </si>
  <si>
    <t>Camp Chi</t>
  </si>
  <si>
    <t>Lauren Schlesinger</t>
  </si>
  <si>
    <t>IT Communications</t>
  </si>
  <si>
    <t>I've been to every continent except for Antarctica.</t>
  </si>
  <si>
    <t>S'mores!</t>
  </si>
  <si>
    <t>I went to Camp Chi for MANY years as a camper and a few years as a staff member. I'm looking forward to being back in that setting for nostalgia reasons.</t>
  </si>
  <si>
    <t>Marell</t>
  </si>
  <si>
    <t>Rachel Scheer</t>
  </si>
  <si>
    <t>Camp Eisner</t>
  </si>
  <si>
    <t>Technology Consulting</t>
  </si>
  <si>
    <t>I used to live and work in Times Square</t>
  </si>
  <si>
    <t>Chips</t>
  </si>
  <si>
    <t>Masters</t>
  </si>
  <si>
    <t>Little Canada</t>
  </si>
  <si>
    <t>MN</t>
  </si>
  <si>
    <t>Sarah Goone and Nora Feldman</t>
  </si>
  <si>
    <t>Nonprofit Accountant</t>
  </si>
  <si>
    <t>I love all purple vegetables</t>
  </si>
  <si>
    <t>Graham cracker cereal</t>
  </si>
  <si>
    <t>Moldover</t>
  </si>
  <si>
    <t>Downers Grove</t>
  </si>
  <si>
    <t>Capital Camps, JCC (of Greater Washington) as both camper and staff</t>
  </si>
  <si>
    <t>I make really good, and really strong, cocktails</t>
  </si>
  <si>
    <t>Mint Oreos</t>
  </si>
  <si>
    <t>My niblings call me "Cool Aunt Deb" so you're know I'm cool</t>
  </si>
  <si>
    <t>Nelson</t>
  </si>
  <si>
    <t>Gaithersburg</t>
  </si>
  <si>
    <t>MD</t>
  </si>
  <si>
    <t>Kosher, Other</t>
  </si>
  <si>
    <t>No mammal meat</t>
  </si>
  <si>
    <t>I work as finance specialist at healthcare company and data reporting analyst in my freelance job. I am also a full time distance runner 40 miles a week running with racing team once a week.</t>
  </si>
  <si>
    <t>I qualified for three major marathons (Boston, Chicago, NYC) and ran top 20% for women at this year's Boston marathon. I love to draw comic strips, to read different genres, and (very unique) to dream and to create my own stories. Mentioned from previous question, I love to run long distance to reduce stress and anxiety and to cook wholesome kosher meals.</t>
  </si>
  <si>
    <t>70% or bitter dark chocolate</t>
  </si>
  <si>
    <t>I am originally from Miyagi Prefecture, Japan and converted twice from online and synagogue last year in conservative movement. I was not born and raised as a Jew but my ancestors who moved to USA were Ashkenazi Jewish and later Scandinavians.</t>
  </si>
  <si>
    <t>Passman</t>
  </si>
  <si>
    <t>Hayley Alperstein</t>
  </si>
  <si>
    <t>Park district</t>
  </si>
  <si>
    <t>X-ray</t>
  </si>
  <si>
    <t>I’ve been to ALL the Midwest Trybal camps</t>
  </si>
  <si>
    <t>S’mores of course</t>
  </si>
  <si>
    <t>Paull</t>
  </si>
  <si>
    <t>Farmington Hills</t>
  </si>
  <si>
    <t>MI</t>
  </si>
  <si>
    <t>Vegetarian, Other</t>
  </si>
  <si>
    <t>Pescatarian (eat fish)</t>
  </si>
  <si>
    <t>Ben Frankel</t>
  </si>
  <si>
    <t>Sales Clerk</t>
  </si>
  <si>
    <t>I love to train MMA</t>
  </si>
  <si>
    <t>Berries</t>
  </si>
  <si>
    <t>montclair</t>
  </si>
  <si>
    <t>Skylar Beatus, Alyssa Schor, Hayley Alperstein, Melissa Fradkin, Amy Orlov</t>
  </si>
  <si>
    <t>Red Pine, Hoofbeat Ridge, Eco Quest Day Camp</t>
  </si>
  <si>
    <t>In-House Counsel at a large food and beverage company</t>
  </si>
  <si>
    <t>Richier</t>
  </si>
  <si>
    <t>TAYLORR</t>
  </si>
  <si>
    <t>Kosher-style</t>
  </si>
  <si>
    <t>Polly Cooper, Laura Baranes, Ben Lambert</t>
  </si>
  <si>
    <t>Brookfield Zoo Camp - staff</t>
  </si>
  <si>
    <t>Teacher of the visually impaired</t>
  </si>
  <si>
    <t>I can read and write braille</t>
  </si>
  <si>
    <t>crackers</t>
  </si>
  <si>
    <t>Schapiro</t>
  </si>
  <si>
    <t>Phoebe Skowronski</t>
  </si>
  <si>
    <t>Osrui</t>
  </si>
  <si>
    <t>Product Management</t>
  </si>
  <si>
    <t>I have 2 patents</t>
  </si>
  <si>
    <t>I try not to eat after 9 (but cheddar rice cakes)</t>
  </si>
  <si>
    <t>Schloss</t>
  </si>
  <si>
    <t>Technical Services Consultant/Team Lead -- I make the beeps boop at each other, occasionally telling other people how to do so along the way</t>
  </si>
  <si>
    <t>I started a karaoke league, and often travel to go to metal shows!</t>
  </si>
  <si>
    <t>A burrito</t>
  </si>
  <si>
    <t>Schor</t>
  </si>
  <si>
    <t>Peanut and tree nut allergy</t>
  </si>
  <si>
    <t>Skylar Beatus, Liz Rice, Hayley Alperstein, Melissa Fradkin, Amy Orlov</t>
  </si>
  <si>
    <t>JCC Youngstown Day Camp, Camp Wise (Cleveland)</t>
  </si>
  <si>
    <t>Public relations</t>
  </si>
  <si>
    <t>I performed at Carnegie Hall when i was 16</t>
  </si>
  <si>
    <t>Whatever I'm craving that night</t>
  </si>
  <si>
    <t>Please no inflatable obstacle courses during color war!!!</t>
  </si>
  <si>
    <t>Sherman</t>
  </si>
  <si>
    <t>Laura Baranes</t>
  </si>
  <si>
    <t>Accountant</t>
  </si>
  <si>
    <t>I go cold weather tent camping</t>
  </si>
  <si>
    <t>Skowronski</t>
  </si>
  <si>
    <t>11/31/96</t>
  </si>
  <si>
    <t>Boston</t>
  </si>
  <si>
    <t>MA</t>
  </si>
  <si>
    <t>Vegetarian, Gluten-free</t>
  </si>
  <si>
    <t>Jessica Schapiro</t>
  </si>
  <si>
    <t>Integration Business Analyst in Tech</t>
  </si>
  <si>
    <t>I'm a landlord and urban farmer!</t>
  </si>
  <si>
    <t>Ice Cream</t>
  </si>
  <si>
    <t>Sowerby</t>
  </si>
  <si>
    <t>Cabin Lodging | Standard</t>
  </si>
  <si>
    <t>Would love to be with alumni again, but I'm not picky! Liz Rice for sure!! 🥰</t>
  </si>
  <si>
    <t>Camp Courageous</t>
  </si>
  <si>
    <t>Heart Condition, prone to waiting and pre syncope when I have prolonged heat exposure. If I faint, I just need salt water or electrolyte replacement powder :) I usually keep some with me</t>
  </si>
  <si>
    <t>Graphic Designer</t>
  </si>
  <si>
    <t>I have been in the top .001% of listeners for a band I like on my Spotify Wrapped for 5 years running. I have over 15,000 minutes of listening time on them!</t>
  </si>
  <si>
    <t>Nutty Bars</t>
  </si>
  <si>
    <t>I would like to help out with making name cookies this year! Everyone always loves my designs and Id be happy to arrive to camp early and help people make theirs!! &lt;3</t>
  </si>
  <si>
    <t>Stoller-Zak</t>
  </si>
  <si>
    <t>Agawak, One Step, Skokie Park District</t>
  </si>
  <si>
    <t>ChiTribe, JUF, Mishkan</t>
  </si>
  <si>
    <t>Licensed Clinical Professional Counselor (Psychotherapist)</t>
  </si>
  <si>
    <t>I worked for People Magazine; I've never eaten Taco Bell.</t>
  </si>
  <si>
    <t>popcorn, s'mores, chocolate covered pretzels, M&amp;M's (plain, peanut, and peanut butter)</t>
  </si>
  <si>
    <t>Depending on the fit of the t-shirt I may need larger than XXL.</t>
  </si>
  <si>
    <t>Szteinberg</t>
  </si>
  <si>
    <t>Washington</t>
  </si>
  <si>
    <t>DC</t>
  </si>
  <si>
    <t>Sydney Zusman, Shoshi Shapiro</t>
  </si>
  <si>
    <t>Camp Tranquility, Friedberg JCC Camps, Sunrise Day Camp</t>
  </si>
  <si>
    <t>Software Engineer at a HealthTech company</t>
  </si>
  <si>
    <t>I like to crochet and read</t>
  </si>
  <si>
    <t>Talcove-Berko</t>
  </si>
  <si>
    <t>I don’t eat red meat</t>
  </si>
  <si>
    <t>Bertha Rakhunov</t>
  </si>
  <si>
    <t>Camp Tawonga, the JCC in Foster City, California</t>
  </si>
  <si>
    <t>Clinical Research Associate- cancer research</t>
  </si>
  <si>
    <t>I hiked Half Dome with my Jewish overnight camp (Tawonga) at 15 years old</t>
  </si>
  <si>
    <t>Chicken nuggets with buffalo sauce</t>
  </si>
  <si>
    <t>Terry</t>
  </si>
  <si>
    <t>West Dundee</t>
  </si>
  <si>
    <t>Dairy-free, Other</t>
  </si>
  <si>
    <t>Allergic to fish/seafood/shellfish</t>
  </si>
  <si>
    <t>Camp Helen brachman</t>
  </si>
  <si>
    <t>Accounts receivable</t>
  </si>
  <si>
    <t>Sour patch gummies</t>
  </si>
  <si>
    <t>Thurling</t>
  </si>
  <si>
    <t>Rachel Cohen, rachel@cohenc.com, 408-685-1780</t>
  </si>
  <si>
    <t>Boy Scout Summer camps</t>
  </si>
  <si>
    <t>Aerospace Engineer</t>
  </si>
  <si>
    <t>I go by my middle name</t>
  </si>
  <si>
    <t>Chips and Salsa</t>
  </si>
  <si>
    <t>Trejbal</t>
  </si>
  <si>
    <t>Savage</t>
  </si>
  <si>
    <t>Whoever is coming from Congregation Etz Chaim in Lombard (Taylor Richier, David Coons, Ben Lambert, Polly Cooper, Joanna Beaty, etc.)</t>
  </si>
  <si>
    <t>YMCA Camp Tecumseh. Not my favorite experience.</t>
  </si>
  <si>
    <t>Synagogue Communications and Event Marketing at Congregation Etz Chaim of DuPage County</t>
  </si>
  <si>
    <t>I took up weaving recently, and I am way into it</t>
  </si>
  <si>
    <t>Double Stuff Oreos</t>
  </si>
  <si>
    <t>I had a great time last year! Also, my preferred last name is Trejbal, but my legal last name is not the same</t>
  </si>
  <si>
    <t>Weil</t>
  </si>
  <si>
    <t>LOMBARD</t>
  </si>
  <si>
    <t>Camp Butwin</t>
  </si>
  <si>
    <t>Account Manager</t>
  </si>
  <si>
    <t>I had a Star Wars bar mitzvah</t>
  </si>
  <si>
    <t>Chocolate peanut butter ice cream</t>
  </si>
  <si>
    <t>Zusman</t>
  </si>
  <si>
    <t>Deerfield</t>
  </si>
  <si>
    <t>Pescatarian (fish, eggs, dairy and anything vegetarian just no meat)</t>
  </si>
  <si>
    <t>Rachel Szteinberg, Stacy Kaplan, Shoshi Shapiro, and Aimee Patterson (if she ends up coming)</t>
  </si>
  <si>
    <t>I went to Apachi day camp, Circus day camp, sports day camp. For overnight I actually went to Chi for 2 years and ended up going to a different camp called Wicosuta in New Hampshire for 5 years.</t>
  </si>
  <si>
    <t>I’m a Dance Teacher and coach for a competitive dance team</t>
  </si>
  <si>
    <t>I collect crystals</t>
  </si>
  <si>
    <t>Crunchy Curls from Trader Joe’s or a cheese stick</t>
  </si>
  <si>
    <t>I love my cat haha</t>
  </si>
  <si>
    <t>Rost</t>
  </si>
  <si>
    <t>Private Lodging - Double | FLASH SALE</t>
  </si>
  <si>
    <t>Vegetarian, Kosher, Gluten Free</t>
  </si>
  <si>
    <t>Orthodox</t>
  </si>
  <si>
    <t>Nesher</t>
  </si>
  <si>
    <t>Todd Shaw</t>
  </si>
  <si>
    <t>Partial medial meniscus tear in my left knee. Must be cautious when performing jumping or high impact activities.</t>
  </si>
  <si>
    <t>Life and Wellness Coach</t>
  </si>
  <si>
    <t>Mentor/Coach to kids and young adults from ages 3-up</t>
  </si>
  <si>
    <t>Veggie straws</t>
  </si>
  <si>
    <t>Kosher, shomer Shabbat, and daven daily. Also regularly practice yoga, breathwork, and meditation.</t>
  </si>
  <si>
    <t>Foster</t>
  </si>
  <si>
    <t>East Windsor</t>
  </si>
  <si>
    <t>4H camp, Teen travel, Boy Scouts</t>
  </si>
  <si>
    <t>I love Polar Bears!</t>
  </si>
  <si>
    <t>Quest protien chips</t>
  </si>
  <si>
    <t>I like to meditate, I'm into nature, technology, and helping others.</t>
  </si>
  <si>
    <t>Orlov</t>
  </si>
  <si>
    <t>Private Lodging - Single | FLASH SALE</t>
  </si>
  <si>
    <t>Banner Day Camp; Kutz Camp</t>
  </si>
  <si>
    <t>Princess Diana visited the hospital I was born at when I was born.</t>
  </si>
  <si>
    <t>Candy</t>
  </si>
  <si>
    <t>Mendkoff</t>
  </si>
  <si>
    <t>Seth Franklin</t>
  </si>
  <si>
    <t>I performed at the grand ole opry in Nashville in high school</t>
  </si>
  <si>
    <t>Jordan Mendkoff</t>
  </si>
  <si>
    <t>Manufacturing supply chain</t>
  </si>
  <si>
    <t>Davidov</t>
  </si>
  <si>
    <t>Private Lodging - Single | Standard</t>
  </si>
  <si>
    <t>Na</t>
  </si>
  <si>
    <t>Psychiatrist</t>
  </si>
  <si>
    <t>I'm learning how to skateboard!</t>
  </si>
  <si>
    <t>Date</t>
  </si>
  <si>
    <t>Field Name</t>
  </si>
  <si>
    <t>Description</t>
  </si>
  <si>
    <t>Data Type</t>
  </si>
  <si>
    <t>Possible Values / Notes</t>
  </si>
  <si>
    <t>The camp the attendee is registering for</t>
  </si>
  <si>
    <t>Text</t>
  </si>
  <si>
    <t>e.g., Berkshires, SoCal, Midwest, Day Camp</t>
  </si>
  <si>
    <t>Unique identifier for the registration record</t>
  </si>
  <si>
    <t>Text / Numeric</t>
  </si>
  <si>
    <t>Unique per registration</t>
  </si>
  <si>
    <t>Date the registration was submitted</t>
  </si>
  <si>
    <t>YYYY-MM-DD</t>
  </si>
  <si>
    <t>Attendee’s last name</t>
  </si>
  <si>
    <t>Number of tickets purchased for this registration</t>
  </si>
  <si>
    <t>Numeric</t>
  </si>
  <si>
    <t>Discount or promotional code applied</t>
  </si>
  <si>
    <t>Optional</t>
  </si>
  <si>
    <t>Total revenue generated by this registration</t>
  </si>
  <si>
    <t>Total amount paid by the registrant</t>
  </si>
  <si>
    <t>Currency</t>
  </si>
  <si>
    <t>Additional processing or service fees applied</t>
  </si>
  <si>
    <t>Attendee’s gender</t>
  </si>
  <si>
    <t>Male, Female, Non-binary, Prefer not to say</t>
  </si>
  <si>
    <t>Attendee’s date of birth</t>
  </si>
  <si>
    <t>Attendee’s age at registration</t>
  </si>
  <si>
    <t>City of the attendee</t>
  </si>
  <si>
    <t>State or province of the attendee</t>
  </si>
  <si>
    <t>Postal code</t>
  </si>
  <si>
    <t>Country of residence</t>
  </si>
  <si>
    <t>Confirmation that all attendees are 21+ and will bring ID</t>
  </si>
  <si>
    <t>Boolean / Text</t>
  </si>
  <si>
    <t>Yes / No</t>
  </si>
  <si>
    <t>Attendee’s t-shirt size</t>
  </si>
  <si>
    <t>XS, S, M, L, XL</t>
  </si>
  <si>
    <t>Indicates if attendee has dietary restrictions</t>
  </si>
  <si>
    <t>Text / Boolean</t>
  </si>
  <si>
    <t>None / Yes</t>
  </si>
  <si>
    <t>Explanation of dietary restrictions</t>
  </si>
  <si>
    <t>Attendee’s cabin preference</t>
  </si>
  <si>
    <t>Indicates if attendee has a roommate request</t>
  </si>
  <si>
    <t>Full name of requested roommate</t>
  </si>
  <si>
    <t>Bunkmate requests</t>
  </si>
  <si>
    <t>Attendee’s Jewish background</t>
  </si>
  <si>
    <t>Reason for attending Trybal</t>
  </si>
  <si>
    <t>Open-ended</t>
  </si>
  <si>
    <t>Previous attendance at Trybal camps</t>
  </si>
  <si>
    <t>Boolean</t>
  </si>
  <si>
    <t>Previous attendance at Trybal events</t>
  </si>
  <si>
    <t>Previous attendance at Ambassador events</t>
  </si>
  <si>
    <t>Indicates if this is the first Trybal experience</t>
  </si>
  <si>
    <t>Attended Berkshires 2017 camp</t>
  </si>
  <si>
    <t>Attended Berkshires 2018 camp</t>
  </si>
  <si>
    <t>Attended Berkshires 2019 camp</t>
  </si>
  <si>
    <t>Attended Berkshires 2021 camp</t>
  </si>
  <si>
    <t>Attended Berkshires 2022 Session 1 camp</t>
  </si>
  <si>
    <t>Attended Berkshires 2022 Session 2 camp</t>
  </si>
  <si>
    <t>Attended Berkshires 2023 Session 1 camp</t>
  </si>
  <si>
    <t>Attended Berkshires 2023 Session 2 camp</t>
  </si>
  <si>
    <t>Attended SoCal 2017 camp</t>
  </si>
  <si>
    <t>Attended SoCal 2018 camp</t>
  </si>
  <si>
    <t>Attended SoCal 2019 camp</t>
  </si>
  <si>
    <t>Attended SoCal 2021 camp</t>
  </si>
  <si>
    <t>Attended SoCal 2022 camp</t>
  </si>
  <si>
    <t>Attended SoCal 2023 camp</t>
  </si>
  <si>
    <t>Attended Midwest 2018 camp</t>
  </si>
  <si>
    <t>Attended Midwest 2019 camp</t>
  </si>
  <si>
    <t>Attended Midwest 2022 camp</t>
  </si>
  <si>
    <t>Attended Midwest 2023 camp</t>
  </si>
  <si>
    <t>Attended Chicago Day Camp 2021</t>
  </si>
  <si>
    <t>Attended Chicago Day Camp 2023</t>
  </si>
  <si>
    <t>Attended Seattle Day Camp 2021</t>
  </si>
  <si>
    <t>Attended Atlanta Day Camp 2021</t>
  </si>
  <si>
    <t>Attended South 2022 camp</t>
  </si>
  <si>
    <t>Attended LA Day Camp 2022</t>
  </si>
  <si>
    <t>Attended LA Day Camp 2023</t>
  </si>
  <si>
    <t>Source of referral / how attendee heard about Trybal</t>
  </si>
  <si>
    <t>e.g., Alum, Social Media, Friend, Email</t>
  </si>
  <si>
    <t>Playground Pivot – Drag fields to analyze data</t>
  </si>
  <si>
    <t>Row Labels</t>
  </si>
  <si>
    <t>Grand Total</t>
  </si>
  <si>
    <t>Count of Registrations</t>
  </si>
  <si>
    <t>Revenue by Camp</t>
  </si>
  <si>
    <t>Revenue Sum</t>
  </si>
  <si>
    <t>Total Paid Sum</t>
  </si>
  <si>
    <t>Processing &amp; Fees Sum</t>
  </si>
  <si>
    <t>Camp by Age (Counts)</t>
  </si>
  <si>
    <t>33</t>
  </si>
  <si>
    <t>37</t>
  </si>
  <si>
    <t>39</t>
  </si>
  <si>
    <t>36</t>
  </si>
  <si>
    <t>30</t>
  </si>
  <si>
    <t>28</t>
  </si>
  <si>
    <t>35</t>
  </si>
  <si>
    <t>25</t>
  </si>
  <si>
    <t>27</t>
  </si>
  <si>
    <t>34</t>
  </si>
  <si>
    <t>29</t>
  </si>
  <si>
    <t>31</t>
  </si>
  <si>
    <t>26</t>
  </si>
  <si>
    <t>38</t>
  </si>
  <si>
    <t>32</t>
  </si>
  <si>
    <t>40</t>
  </si>
  <si>
    <t>43</t>
  </si>
  <si>
    <t>24</t>
  </si>
  <si>
    <t>Background by Camp</t>
  </si>
  <si>
    <t>Previously Attended Camps</t>
  </si>
  <si>
    <t>Berkshires 2017</t>
  </si>
  <si>
    <t>Berkshires 2018</t>
  </si>
  <si>
    <t>Berkshires 2019</t>
  </si>
  <si>
    <t>Berkshires 2021</t>
  </si>
  <si>
    <t>Berkshires 2022 Session 1</t>
  </si>
  <si>
    <t>Berkshires 2022 Session 2</t>
  </si>
  <si>
    <t>Berkshires 2023 Session 1</t>
  </si>
  <si>
    <t>Berkshires 2023 Session 2</t>
  </si>
  <si>
    <t>SoCal 2017</t>
  </si>
  <si>
    <t>SoCal 2018</t>
  </si>
  <si>
    <t>SoCal 2019</t>
  </si>
  <si>
    <t>SoCal 2021</t>
  </si>
  <si>
    <t>SoCal 2022</t>
  </si>
  <si>
    <t>SoCal 2023</t>
  </si>
  <si>
    <t>Midwest 2018</t>
  </si>
  <si>
    <t>Midwest 2019</t>
  </si>
  <si>
    <t>Midwest 2022</t>
  </si>
  <si>
    <t>Midwest 2023</t>
  </si>
  <si>
    <t>Chicago Day Camp 2021</t>
  </si>
  <si>
    <t>Chicago Day Camp 2023</t>
  </si>
  <si>
    <t>Seattle Day Camp 2021</t>
  </si>
  <si>
    <t>Atlanta Day Camp 2021</t>
  </si>
  <si>
    <t>South 2022</t>
  </si>
  <si>
    <t>LA Day Camp 2022</t>
  </si>
  <si>
    <t>LA Day Camp 2023</t>
  </si>
  <si>
    <t>Dashboard generated February 23, 2026</t>
  </si>
  <si>
    <t>Mac Users: You may need to right click on tables in order to see data after 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</si>
</sst>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yyyy\-mm\-dd"/>
  </numFmts>
  <fonts count="9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22222"/>
      <name val="Calibri"/>
      <family val="2"/>
    </font>
    <font>
      <b/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i/>
      <sz val="18"/>
      <color rgb="FF000000"/>
      <name val="Arial"/>
      <family val="2"/>
      <scheme val="minor"/>
    </font>
    <font>
      <b/>
      <i/>
      <sz val="12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/>
    <xf numFmtId="0" fontId="0" fillId="0" borderId="0" xfId="0" pivotButton="1"/>
    <xf numFmtId="164" fontId="0" fillId="0" borderId="0" xfId="0" applyNumberForma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22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166" fontId="3" fillId="0" borderId="1" xfId="0" applyNumberFormat="1" applyFont="1" applyBorder="1" applyAlignment="1">
      <alignment horizontal="left"/>
    </xf>
    <xf numFmtId="0" fontId="0" fillId="0" borderId="0" xfId="0" applyNumberFormat="1"/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10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D9D9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by Camp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tables'!$B$2</c:f>
              <c:strCache>
                <c:ptCount val="1"/>
                <c:pt idx="0">
                  <c:v>Revenue Sum</c:v>
                </c:pt>
              </c:strCache>
            </c:strRef>
          </c:tx>
          <c:invertIfNegative val="0"/>
          <c:cat>
            <c:strRef>
              <c:f>'Summary tables'!$A$3</c:f>
              <c:strCache>
                <c:ptCount val="1"/>
                <c:pt idx="0">
                  <c:v>Midwest</c:v>
                </c:pt>
              </c:strCache>
            </c:strRef>
          </c:cat>
          <c:val>
            <c:numRef>
              <c:f>'Summary tables'!$B$3</c:f>
              <c:numCache>
                <c:formatCode>"$"#,##0.00</c:formatCode>
                <c:ptCount val="1"/>
                <c:pt idx="0">
                  <c:v>33292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F-B94D-A1D7-FBC02E9472F6}"/>
            </c:ext>
          </c:extLst>
        </c:ser>
        <c:ser>
          <c:idx val="1"/>
          <c:order val="1"/>
          <c:tx>
            <c:strRef>
              <c:f>'Summary tables'!$C$2</c:f>
              <c:strCache>
                <c:ptCount val="1"/>
                <c:pt idx="0">
                  <c:v>Total Paid Sum</c:v>
                </c:pt>
              </c:strCache>
            </c:strRef>
          </c:tx>
          <c:invertIfNegative val="0"/>
          <c:cat>
            <c:strRef>
              <c:f>'Summary tables'!$A$3</c:f>
              <c:strCache>
                <c:ptCount val="1"/>
                <c:pt idx="0">
                  <c:v>Midwest</c:v>
                </c:pt>
              </c:strCache>
            </c:strRef>
          </c:cat>
          <c:val>
            <c:numRef>
              <c:f>'Summary tables'!$C$3</c:f>
              <c:numCache>
                <c:formatCode>"$"#,##0.00</c:formatCode>
                <c:ptCount val="1"/>
                <c:pt idx="0">
                  <c:v>33218.300000000003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F-B94D-A1D7-FBC02E9472F6}"/>
            </c:ext>
          </c:extLst>
        </c:ser>
        <c:ser>
          <c:idx val="2"/>
          <c:order val="2"/>
          <c:tx>
            <c:strRef>
              <c:f>'Summary tables'!$D$2</c:f>
              <c:strCache>
                <c:ptCount val="1"/>
                <c:pt idx="0">
                  <c:v>Processing &amp; Fees Sum</c:v>
                </c:pt>
              </c:strCache>
            </c:strRef>
          </c:tx>
          <c:invertIfNegative val="0"/>
          <c:cat>
            <c:strRef>
              <c:f>'Summary tables'!$A$3</c:f>
              <c:strCache>
                <c:ptCount val="1"/>
                <c:pt idx="0">
                  <c:v>Midwest</c:v>
                </c:pt>
              </c:strCache>
            </c:strRef>
          </c:cat>
          <c:val>
            <c:numRef>
              <c:f>'Summary tables'!$D$3</c:f>
              <c:numCache>
                <c:formatCode>"$"#,##0.00</c:formatCode>
                <c:ptCount val="1"/>
                <c:pt idx="0">
                  <c:v>1401.37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0F-B94D-A1D7-FBC02E947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8462464"/>
        <c:axId val="458461568"/>
      </c:barChart>
      <c:catAx>
        <c:axId val="45846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8461568"/>
        <c:crosses val="autoZero"/>
        <c:auto val="1"/>
        <c:lblAlgn val="ctr"/>
        <c:lblOffset val="100"/>
        <c:noMultiLvlLbl val="0"/>
      </c:catAx>
      <c:valAx>
        <c:axId val="458461568"/>
        <c:scaling>
          <c:orientation val="minMax"/>
        </c:scaling>
        <c:delete val="0"/>
        <c:axPos val="l"/>
        <c:majorGridlines/>
        <c:numFmt formatCode="&quot;$&quot;#,##0" sourceLinked="0"/>
        <c:majorTickMark val="out"/>
        <c:minorTickMark val="none"/>
        <c:tickLblPos val="nextTo"/>
        <c:crossAx val="458462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 by Age Counts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Midwest</c:v>
          </c:tx>
          <c:marker>
            <c:symbol val="none"/>
          </c:marker>
          <c:cat>
            <c:strRef>
              <c:f>'Summary tables'!$B$8:$S$8</c:f>
              <c:strCache>
                <c:ptCount val="18"/>
                <c:pt idx="0">
                  <c:v>33</c:v>
                </c:pt>
                <c:pt idx="1">
                  <c:v>25</c:v>
                </c:pt>
                <c:pt idx="2">
                  <c:v>28</c:v>
                </c:pt>
                <c:pt idx="3">
                  <c:v>30</c:v>
                </c:pt>
                <c:pt idx="4">
                  <c:v>26</c:v>
                </c:pt>
                <c:pt idx="5">
                  <c:v>38</c:v>
                </c:pt>
                <c:pt idx="6">
                  <c:v>31</c:v>
                </c:pt>
                <c:pt idx="7">
                  <c:v>27</c:v>
                </c:pt>
                <c:pt idx="8">
                  <c:v>37</c:v>
                </c:pt>
                <c:pt idx="9">
                  <c:v>29</c:v>
                </c:pt>
                <c:pt idx="10">
                  <c:v>40</c:v>
                </c:pt>
                <c:pt idx="11">
                  <c:v>34</c:v>
                </c:pt>
                <c:pt idx="12">
                  <c:v>32</c:v>
                </c:pt>
                <c:pt idx="13">
                  <c:v>39</c:v>
                </c:pt>
                <c:pt idx="14">
                  <c:v>36</c:v>
                </c:pt>
                <c:pt idx="15">
                  <c:v>35</c:v>
                </c:pt>
                <c:pt idx="16">
                  <c:v>43</c:v>
                </c:pt>
                <c:pt idx="17">
                  <c:v>24</c:v>
                </c:pt>
              </c:strCache>
            </c:strRef>
          </c:cat>
          <c:val>
            <c:numRef>
              <c:f>'Summary tables'!$B$9:$S$9</c:f>
              <c:numCache>
                <c:formatCode>General</c:formatCode>
                <c:ptCount val="18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1</c:v>
                </c:pt>
                <c:pt idx="5">
                  <c:v>2</c:v>
                </c:pt>
                <c:pt idx="6">
                  <c:v>8</c:v>
                </c:pt>
                <c:pt idx="7">
                  <c:v>4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6-9245-86B7-FC00F1C1F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564928"/>
        <c:axId val="611353920"/>
      </c:lineChart>
      <c:catAx>
        <c:axId val="81056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1353920"/>
        <c:crosses val="autoZero"/>
        <c:auto val="1"/>
        <c:lblAlgn val="ctr"/>
        <c:lblOffset val="100"/>
        <c:noMultiLvlLbl val="0"/>
      </c:catAx>
      <c:valAx>
        <c:axId val="6113539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 of Campers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0564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Background by Camp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tables'!$B$14</c:f>
              <c:strCache>
                <c:ptCount val="1"/>
                <c:pt idx="0">
                  <c:v>Just Jewish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Midwest</c:v>
                </c:pt>
              </c:strCache>
            </c:strRef>
          </c:cat>
          <c:val>
            <c:numRef>
              <c:f>'Summary tables'!$B$15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A-044E-9272-E4B9AC2151A2}"/>
            </c:ext>
          </c:extLst>
        </c:ser>
        <c:ser>
          <c:idx val="1"/>
          <c:order val="1"/>
          <c:tx>
            <c:strRef>
              <c:f>'Summary tables'!$C$14</c:f>
              <c:strCache>
                <c:ptCount val="1"/>
                <c:pt idx="0">
                  <c:v>Culturally Jewish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Midwest</c:v>
                </c:pt>
              </c:strCache>
            </c:strRef>
          </c:cat>
          <c:val>
            <c:numRef>
              <c:f>'Summary tables'!$C$15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A-044E-9272-E4B9AC2151A2}"/>
            </c:ext>
          </c:extLst>
        </c:ser>
        <c:ser>
          <c:idx val="2"/>
          <c:order val="2"/>
          <c:tx>
            <c:strRef>
              <c:f>'Summary tables'!$D$14</c:f>
              <c:strCache>
                <c:ptCount val="1"/>
                <c:pt idx="0">
                  <c:v>Reform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Midwest</c:v>
                </c:pt>
              </c:strCache>
            </c:strRef>
          </c:cat>
          <c:val>
            <c:numRef>
              <c:f>'Summary tables'!$D$15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A-044E-9272-E4B9AC2151A2}"/>
            </c:ext>
          </c:extLst>
        </c:ser>
        <c:ser>
          <c:idx val="3"/>
          <c:order val="3"/>
          <c:tx>
            <c:strRef>
              <c:f>'Summary tables'!$E$14</c:f>
              <c:strCache>
                <c:ptCount val="1"/>
                <c:pt idx="0">
                  <c:v>Conservative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Midwest</c:v>
                </c:pt>
              </c:strCache>
            </c:strRef>
          </c:cat>
          <c:val>
            <c:numRef>
              <c:f>'Summary tables'!$E$15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7A-044E-9272-E4B9AC2151A2}"/>
            </c:ext>
          </c:extLst>
        </c:ser>
        <c:ser>
          <c:idx val="4"/>
          <c:order val="4"/>
          <c:tx>
            <c:strRef>
              <c:f>'Summary tables'!$F$14</c:f>
              <c:strCache>
                <c:ptCount val="1"/>
                <c:pt idx="0">
                  <c:v>Orthodox</c:v>
                </c:pt>
              </c:strCache>
            </c:strRef>
          </c:tx>
          <c:invertIfNegative val="0"/>
          <c:cat>
            <c:strRef>
              <c:f>'Summary tables'!$A$15</c:f>
              <c:strCache>
                <c:ptCount val="1"/>
                <c:pt idx="0">
                  <c:v>Midwest</c:v>
                </c:pt>
              </c:strCache>
            </c:strRef>
          </c:cat>
          <c:val>
            <c:numRef>
              <c:f>'Summary tables'!$F$15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7A-044E-9272-E4B9AC21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5354432"/>
        <c:axId val="576432192"/>
      </c:barChart>
      <c:catAx>
        <c:axId val="60535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6432192"/>
        <c:crosses val="autoZero"/>
        <c:auto val="1"/>
        <c:lblAlgn val="ctr"/>
        <c:lblOffset val="100"/>
        <c:noMultiLvlLbl val="0"/>
      </c:catAx>
      <c:valAx>
        <c:axId val="57643219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605354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Camps Attended Before by Camp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'Summary tables'!$A$21</c:f>
              <c:strCache>
                <c:ptCount val="1"/>
                <c:pt idx="0">
                  <c:v>Midwest</c:v>
                </c:pt>
              </c:strCache>
            </c:strRef>
          </c:tx>
          <c:invertIfNegative val="0"/>
          <c:cat>
            <c:strRef>
              <c:f>'Summary tables'!$B$20:$Z$20</c:f>
              <c:strCache>
                <c:ptCount val="25"/>
                <c:pt idx="0">
                  <c:v>Berkshires 2017</c:v>
                </c:pt>
                <c:pt idx="1">
                  <c:v>Berkshires 2018</c:v>
                </c:pt>
                <c:pt idx="2">
                  <c:v>Berkshires 2019</c:v>
                </c:pt>
                <c:pt idx="3">
                  <c:v>Berkshires 2021</c:v>
                </c:pt>
                <c:pt idx="4">
                  <c:v>Berkshires 2022 Session 1</c:v>
                </c:pt>
                <c:pt idx="5">
                  <c:v>Berkshires 2022 Session 2</c:v>
                </c:pt>
                <c:pt idx="6">
                  <c:v>Berkshires 2023 Session 1</c:v>
                </c:pt>
                <c:pt idx="7">
                  <c:v>Berkshires 2023 Session 2</c:v>
                </c:pt>
                <c:pt idx="8">
                  <c:v>SoCal 2017</c:v>
                </c:pt>
                <c:pt idx="9">
                  <c:v>SoCal 2018</c:v>
                </c:pt>
                <c:pt idx="10">
                  <c:v>SoCal 2019</c:v>
                </c:pt>
                <c:pt idx="11">
                  <c:v>SoCal 2021</c:v>
                </c:pt>
                <c:pt idx="12">
                  <c:v>SoCal 2022</c:v>
                </c:pt>
                <c:pt idx="13">
                  <c:v>SoCal 2023</c:v>
                </c:pt>
                <c:pt idx="14">
                  <c:v>Midwest 2018</c:v>
                </c:pt>
                <c:pt idx="15">
                  <c:v>Midwest 2019</c:v>
                </c:pt>
                <c:pt idx="16">
                  <c:v>Midwest 2022</c:v>
                </c:pt>
                <c:pt idx="17">
                  <c:v>Midwest 2023</c:v>
                </c:pt>
                <c:pt idx="18">
                  <c:v>Chicago Day Camp 2021</c:v>
                </c:pt>
                <c:pt idx="19">
                  <c:v>Chicago Day Camp 2023</c:v>
                </c:pt>
                <c:pt idx="20">
                  <c:v>Seattle Day Camp 2021</c:v>
                </c:pt>
                <c:pt idx="21">
                  <c:v>Atlanta Day Camp 2021</c:v>
                </c:pt>
                <c:pt idx="22">
                  <c:v>South 2022</c:v>
                </c:pt>
                <c:pt idx="23">
                  <c:v>LA Day Camp 2022</c:v>
                </c:pt>
                <c:pt idx="24">
                  <c:v>LA Day Camp 2023</c:v>
                </c:pt>
              </c:strCache>
            </c:strRef>
          </c:cat>
          <c:val>
            <c:numRef>
              <c:f>'Summary tables'!$B$21:$Z$21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15</c:v>
                </c:pt>
                <c:pt idx="16">
                  <c:v>22</c:v>
                </c:pt>
                <c:pt idx="17">
                  <c:v>9</c:v>
                </c:pt>
                <c:pt idx="18">
                  <c:v>14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5-EB40-81B1-8C3F0E70C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0577280"/>
        <c:axId val="458220288"/>
      </c:barChart>
      <c:catAx>
        <c:axId val="81057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8220288"/>
        <c:crosses val="autoZero"/>
        <c:auto val="1"/>
        <c:lblAlgn val="ctr"/>
        <c:lblOffset val="100"/>
        <c:noMultiLvlLbl val="0"/>
      </c:catAx>
      <c:valAx>
        <c:axId val="45822028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810577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jpg"/><Relationship Id="rId5" Type="http://schemas.openxmlformats.org/officeDocument/2006/relationships/hyperlink" Target="https://www.trybalgatherings.com/" TargetMode="Externa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6</xdr:row>
      <xdr:rowOff>25400</xdr:rowOff>
    </xdr:from>
    <xdr:to>
      <xdr:col>6</xdr:col>
      <xdr:colOff>469900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F0F6B-8F3A-3DA1-AF3A-D7FB514ADE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723900</xdr:colOff>
      <xdr:row>6</xdr:row>
      <xdr:rowOff>25400</xdr:rowOff>
    </xdr:from>
    <xdr:to>
      <xdr:col>18</xdr:col>
      <xdr:colOff>393700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BDB34-C592-C6A5-29E1-CDD47729D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635000</xdr:colOff>
      <xdr:row>34</xdr:row>
      <xdr:rowOff>101600</xdr:rowOff>
    </xdr:from>
    <xdr:to>
      <xdr:col>18</xdr:col>
      <xdr:colOff>393700</xdr:colOff>
      <xdr:row>65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7920A0-6138-0997-4224-583773B32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635000</xdr:colOff>
      <xdr:row>66</xdr:row>
      <xdr:rowOff>152400</xdr:rowOff>
    </xdr:from>
    <xdr:to>
      <xdr:col>19</xdr:col>
      <xdr:colOff>190500</xdr:colOff>
      <xdr:row>97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EF169A-E73F-F33C-A361-C41F22BBE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76200</xdr:colOff>
      <xdr:row>0</xdr:row>
      <xdr:rowOff>25400</xdr:rowOff>
    </xdr:from>
    <xdr:to>
      <xdr:col>3</xdr:col>
      <xdr:colOff>254000</xdr:colOff>
      <xdr:row>5</xdr:row>
      <xdr:rowOff>12700</xdr:rowOff>
    </xdr:to>
    <xdr:pic>
      <xdr:nvPicPr>
        <xdr:cNvPr id="7" name="TrybalLogo_Ma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788B1C9-7533-B2D5-7569-469A5AAE2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400"/>
          <a:ext cx="2654300" cy="977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8</xdr:col>
      <xdr:colOff>762000</xdr:colOff>
      <xdr:row>4</xdr:row>
      <xdr:rowOff>38100</xdr:rowOff>
    </xdr:to>
    <xdr:sp macro="" textlink="">
      <xdr:nvSpPr>
        <xdr:cNvPr id="2" name="PivotHelpBox">
          <a:extLst>
            <a:ext uri="{FF2B5EF4-FFF2-40B4-BE49-F238E27FC236}">
              <a16:creationId xmlns:a16="http://schemas.microsoft.com/office/drawing/2014/main" id="{7144B631-ED75-5803-BA15-7B81B4094FBF}"/>
            </a:ext>
          </a:extLst>
        </xdr:cNvPr>
        <xdr:cNvSpPr txBox="1"/>
      </xdr:nvSpPr>
      <xdr:spPr>
        <a:xfrm>
          <a:off x="7213600" y="0"/>
          <a:ext cx="4064000" cy="762000"/>
        </a:xfrm>
        <a:prstGeom prst="rect">
          <a:avLst/>
        </a:prstGeom>
        <a:solidFill>
          <a:srgbClr val="FFF2CC"/>
        </a:solidFill>
        <a:ln w="9525" cmpd="sng">
          <a:solidFill>
            <a:srgbClr val="BF9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400" b="1"/>
            <a:t>Tip: Right-click inside the PivotTable and select 'Show Field List' to add or change fields.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llel Morris" refreshedDate="46076.48356226852" createdVersion="8" refreshedVersion="8" minRefreshableVersion="3" recordCount="51" xr:uid="{2AD848D5-9AAD-E34F-90DF-0401201560EE}">
  <cacheSource type="worksheet">
    <worksheetSource ref="A1:CF52" sheet="Data"/>
  </cacheSource>
  <cacheFields count="84">
    <cacheField name="Camp" numFmtId="0">
      <sharedItems count="1">
        <s v="Midwest"/>
      </sharedItems>
    </cacheField>
    <cacheField name="Registration ID" numFmtId="0">
      <sharedItems containsSemiMixedTypes="0" containsString="0" containsNumber="1" containsInteger="1" minValue="46905852" maxValue="50173104"/>
    </cacheField>
    <cacheField name="Registration Date" numFmtId="22">
      <sharedItems containsSemiMixedTypes="0" containsNonDate="0" containsDate="1" containsString="0" minDate="2024-03-25T11:18:00" maxDate="2024-07-06T10:40:00"/>
    </cacheField>
    <cacheField name="Name (Last Name)" numFmtId="0">
      <sharedItems/>
    </cacheField>
    <cacheField name="Tickets" numFmtId="0">
      <sharedItems/>
    </cacheField>
    <cacheField name="Coupon Code (Code)" numFmtId="0">
      <sharedItems containsBlank="1"/>
    </cacheField>
    <cacheField name="Revenue" numFmtId="164">
      <sharedItems containsSemiMixedTypes="0" containsString="0" containsNumber="1" containsInteger="1" minValue="555" maxValue="950"/>
    </cacheField>
    <cacheField name="Total Paid ($ Amount)" numFmtId="164">
      <sharedItems containsSemiMixedTypes="0" containsString="0" containsNumber="1" minValue="0" maxValue="1615.18"/>
    </cacheField>
    <cacheField name="Processing &amp; Fees ($ Amount)" numFmtId="164">
      <sharedItems containsSemiMixedTypes="0" containsString="0" containsNumber="1" minValue="0" maxValue="65.180000000000007"/>
    </cacheField>
    <cacheField name="Gender" numFmtId="0">
      <sharedItems/>
    </cacheField>
    <cacheField name="Date of Birth" numFmtId="0">
      <sharedItems containsDate="1" containsMixedTypes="1" minDate="1980-05-02T00:00:00" maxDate="2000-08-10T00:00:00"/>
    </cacheField>
    <cacheField name="Age" numFmtId="0">
      <sharedItems containsSemiMixedTypes="0" containsString="0" containsNumber="1" containsInteger="1" minValue="24" maxValue="43"/>
    </cacheField>
    <cacheField name="Address (City)" numFmtId="0">
      <sharedItems/>
    </cacheField>
    <cacheField name="Address (State)" numFmtId="0">
      <sharedItems/>
    </cacheField>
    <cacheField name="Address (ZIP/Postal Code)" numFmtId="0">
      <sharedItems containsSemiMixedTypes="0" containsString="0" containsNumber="1" containsInteger="1" minValue="2127" maxValue="80112"/>
    </cacheField>
    <cacheField name="Address (Country)" numFmtId="0">
      <sharedItems/>
    </cacheField>
    <cacheField name="I confirm that all attendees registered under this order are over the age of 21 and will bring proof of age (government-issued Photo ID) to check-in at camp." numFmtId="0">
      <sharedItems/>
    </cacheField>
    <cacheField name="T-Shirt Size" numFmtId="0">
      <sharedItems/>
    </cacheField>
    <cacheField name="Do you have any dietary restrictions? (None)" numFmtId="0">
      <sharedItems/>
    </cacheField>
    <cacheField name="Please explain" numFmtId="0">
      <sharedItems containsBlank="1"/>
    </cacheField>
    <cacheField name="Do you have a cabin preference?" numFmtId="0">
      <sharedItems containsBlank="1"/>
    </cacheField>
    <cacheField name="Do you have a roommate request?" numFmtId="0">
      <sharedItems containsBlank="1"/>
    </cacheField>
    <cacheField name="Please list their full name" numFmtId="0">
      <sharedItems containsBlank="1"/>
    </cacheField>
    <cacheField name="Do you have any bunkmate requests? Please list their name(s)" numFmtId="0">
      <sharedItems containsBlank="1"/>
    </cacheField>
    <cacheField name="What's your Jewish background?" numFmtId="0">
      <sharedItems/>
    </cacheField>
    <cacheField name="What brings you to Trybal?" numFmtId="0">
      <sharedItems containsNonDate="0" containsString="0" containsBlank="1"/>
    </cacheField>
    <cacheField name="Have you attended any Trybal Gatherings events in the past? (Yes, Trybal camps)" numFmtId="0">
      <sharedItems containsBlank="1"/>
    </cacheField>
    <cacheField name="Have you attended any Trybal Gatherings events in the past? (Yes, Trybal events)" numFmtId="0">
      <sharedItems containsBlank="1"/>
    </cacheField>
    <cacheField name="Have you attended any Trybal Gatherings events in the past? (Yes, Ambassador events)" numFmtId="0">
      <sharedItems containsBlank="1"/>
    </cacheField>
    <cacheField name="Is this your first time at a Trybal Gathering experience?" numFmtId="0">
      <sharedItems containsNonDate="0" containsString="0" containsBlank="1"/>
    </cacheField>
    <cacheField name="Which camps? (Berkshires 2017)" numFmtId="0">
      <sharedItems containsNonDate="0" containsString="0" containsBlank="1"/>
    </cacheField>
    <cacheField name="Which camps? (Berkshires 2018)" numFmtId="0">
      <sharedItems containsNonDate="0" containsString="0" containsBlank="1"/>
    </cacheField>
    <cacheField name="Which camps? (Berkshires 2019)" numFmtId="0">
      <sharedItems containsBlank="1"/>
    </cacheField>
    <cacheField name="Which camps? (Berkshires 2021)" numFmtId="0">
      <sharedItems containsBlank="1"/>
    </cacheField>
    <cacheField name="Which camps? (Berkshires 2022 Session 1)" numFmtId="0">
      <sharedItems containsBlank="1"/>
    </cacheField>
    <cacheField name="Which camps? (Berkshires 2022 Session 2)" numFmtId="0">
      <sharedItems containsBlank="1"/>
    </cacheField>
    <cacheField name="Which camps? (Berkshires 2023 Session 1)" numFmtId="0">
      <sharedItems containsNonDate="0" containsString="0" containsBlank="1"/>
    </cacheField>
    <cacheField name="Which camps? (Berkshires 2023 Session 2)" numFmtId="0">
      <sharedItems containsNonDate="0" containsString="0" containsBlank="1"/>
    </cacheField>
    <cacheField name="Which camps? (SoCal 2017)" numFmtId="0">
      <sharedItems containsNonDate="0" containsString="0" containsBlank="1"/>
    </cacheField>
    <cacheField name="Which camps? (SoCal 2018)" numFmtId="0">
      <sharedItems containsBlank="1"/>
    </cacheField>
    <cacheField name="Which camps? (SoCal 2019)" numFmtId="0">
      <sharedItems containsBlank="1"/>
    </cacheField>
    <cacheField name="Which camps? (SoCal 2021)" numFmtId="0">
      <sharedItems containsBlank="1"/>
    </cacheField>
    <cacheField name="Which camps? (SoCal 2022)" numFmtId="0">
      <sharedItems containsBlank="1"/>
    </cacheField>
    <cacheField name="Which camps? (SoCal 2023)" numFmtId="0">
      <sharedItems containsBlank="1"/>
    </cacheField>
    <cacheField name="Which camps? (Midwest 2018)" numFmtId="0">
      <sharedItems containsBlank="1"/>
    </cacheField>
    <cacheField name="Which camps? (Midwest 2019)" numFmtId="0">
      <sharedItems containsBlank="1"/>
    </cacheField>
    <cacheField name="Which camps? (Midwest 2022)" numFmtId="0">
      <sharedItems containsBlank="1"/>
    </cacheField>
    <cacheField name="Which camps? (Midwest 2023)" numFmtId="0">
      <sharedItems containsBlank="1"/>
    </cacheField>
    <cacheField name="Which camps? (Chicago Day Camp 2021)" numFmtId="0">
      <sharedItems containsBlank="1"/>
    </cacheField>
    <cacheField name="Which camps? (Chicago Day Camp 2023)" numFmtId="0">
      <sharedItems containsNonDate="0" containsString="0" containsBlank="1"/>
    </cacheField>
    <cacheField name="Which camps? (Seattle Day Camp 2021)" numFmtId="0">
      <sharedItems containsNonDate="0" containsString="0" containsBlank="1"/>
    </cacheField>
    <cacheField name="Which camps? (Atlanta Day Camp 2021)" numFmtId="0">
      <sharedItems containsBlank="1"/>
    </cacheField>
    <cacheField name="Which camps? (South 2022)" numFmtId="0">
      <sharedItems containsNonDate="0" containsString="0" containsBlank="1"/>
    </cacheField>
    <cacheField name="Which camps? (LA Day Camp 2022)" numFmtId="0">
      <sharedItems containsNonDate="0" containsString="0" containsBlank="1"/>
    </cacheField>
    <cacheField name="Which camps? (LA Day Camp 2023)" numFmtId="0">
      <sharedItems containsBlank="1"/>
    </cacheField>
    <cacheField name="How did you hear about Trybal? (I'm an alum)" numFmtId="0">
      <sharedItems containsBlank="1"/>
    </cacheField>
    <cacheField name="How did you hear about Trybal? (Another Trybal event)" numFmtId="0">
      <sharedItems containsBlank="1"/>
    </cacheField>
    <cacheField name="How did you hear about Trybal? (Jewish Federation of Greater Atlanta)" numFmtId="0">
      <sharedItems containsBlank="1"/>
    </cacheField>
    <cacheField name="How did you hear about Trybal? (Marcus JCC of Atlanta (MJCCA))" numFmtId="0">
      <sharedItems containsBlank="1"/>
    </cacheField>
    <cacheField name="How did you hear about Trybal? (The Temple)" numFmtId="0">
      <sharedItems containsBlank="1"/>
    </cacheField>
    <cacheField name="How did you hear about Trybal? (Honeymoon Israel)" numFmtId="0">
      <sharedItems containsBlank="1"/>
    </cacheField>
    <cacheField name="How did you hear about Trybal? (Friends)" numFmtId="0">
      <sharedItems containsBlank="1"/>
    </cacheField>
    <cacheField name="How did you hear about Trybal? (Facebook)" numFmtId="0">
      <sharedItems containsNonDate="0" containsString="0" containsBlank="1"/>
    </cacheField>
    <cacheField name="How did you hear about Trybal? (Instagram)" numFmtId="0">
      <sharedItems containsBlank="1"/>
    </cacheField>
    <cacheField name="How did you hear about Trybal? (A family member)" numFmtId="0">
      <sharedItems containsBlank="1"/>
    </cacheField>
    <cacheField name="How did you hear about Trybal? (Internet search)" numFmtId="0">
      <sharedItems containsBlank="1"/>
    </cacheField>
    <cacheField name="How did you hear about Trybal? (Press)" numFmtId="0">
      <sharedItems containsBlank="1"/>
    </cacheField>
    <cacheField name="How did you hear about Trybal? (Another Jewish organization)" numFmtId="0">
      <sharedItems containsBlank="1"/>
    </cacheField>
    <cacheField name="How did you hear about Trybal? (Other)" numFmtId="0">
      <sharedItems containsBlank="1"/>
    </cacheField>
    <cacheField name="Did you ever attend camp as a kid or as a staff member? (Yes, day camp)" numFmtId="0">
      <sharedItems containsBlank="1"/>
    </cacheField>
    <cacheField name="Did you ever attend camp as a kid or as a staff member? (Yes, overnight camp)" numFmtId="0">
      <sharedItems containsBlank="1"/>
    </cacheField>
    <cacheField name="Did you ever attend camp as a kid or as a staff member? (No)" numFmtId="0">
      <sharedItems containsBlank="1"/>
    </cacheField>
    <cacheField name="Which camp(s)?" numFmtId="0">
      <sharedItems containsBlank="1"/>
    </cacheField>
    <cacheField name="Which friend(s)?" numFmtId="0">
      <sharedItems containsBlank="1"/>
    </cacheField>
    <cacheField name="Which other Jewish organization(s)?" numFmtId="0">
      <sharedItems containsBlank="1"/>
    </cacheField>
    <cacheField name="Where'd you hear about Trybal?" numFmtId="0">
      <sharedItems containsBlank="1"/>
    </cacheField>
    <cacheField name="Do you have any medical or accessibility considerations we should be aware of?" numFmtId="0">
      <sharedItems containsBlank="1" longText="1"/>
    </cacheField>
    <cacheField name="Please explain2" numFmtId="0">
      <sharedItems containsBlank="1"/>
    </cacheField>
    <cacheField name="Are you interested in taking the bus from NYC?" numFmtId="0">
      <sharedItems containsBlank="1"/>
    </cacheField>
    <cacheField name="What do you do for a living?" numFmtId="0">
      <sharedItems containsBlank="1" longText="1"/>
    </cacheField>
    <cacheField name="Tell us a fun fact about yourself!" numFmtId="0">
      <sharedItems containsBlank="1"/>
    </cacheField>
    <cacheField name="What's your favorite midnight snack?" numFmtId="0">
      <sharedItems containsBlank="1" longText="1"/>
    </cacheField>
    <cacheField name="Anything else you want us to know?" numFmtId="0">
      <sharedItems containsBlank="1"/>
    </cacheField>
    <cacheField name="Please accept this waiver in order to register for the event.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n v="46922517"/>
    <d v="2024-03-25T11:18:00"/>
    <s v="alperstein"/>
    <s v="Cabin Lodging | Early Bird"/>
    <m/>
    <n v="575"/>
    <n v="600.29"/>
    <n v="25.3"/>
    <s v="Female"/>
    <d v="1991-02-05T00:00:00"/>
    <n v="33"/>
    <s v="Chicago"/>
    <s v="IL"/>
    <n v="60626"/>
    <s v="US"/>
    <s v="Confirm"/>
    <s v="L"/>
    <s v="Gluten-free, Other"/>
    <s v="Fodmap"/>
    <s v="No preference"/>
    <m/>
    <m/>
    <s v="Someone new."/>
    <s v="Just Jewish"/>
    <m/>
    <s v="Yes"/>
    <s v="Yes"/>
    <m/>
    <m/>
    <m/>
    <m/>
    <m/>
    <m/>
    <m/>
    <m/>
    <m/>
    <m/>
    <m/>
    <m/>
    <m/>
    <m/>
    <m/>
    <m/>
    <m/>
    <s v="Yes"/>
    <s v="Yes"/>
    <m/>
    <s v="Yes"/>
    <m/>
    <m/>
    <m/>
    <m/>
    <m/>
    <m/>
    <m/>
    <m/>
    <m/>
    <m/>
    <m/>
    <m/>
    <m/>
    <m/>
    <m/>
    <m/>
    <m/>
    <m/>
    <m/>
    <s v="Yes"/>
    <s v="Yes"/>
    <m/>
    <s v="Ramah"/>
    <m/>
    <m/>
    <m/>
    <s v="No"/>
    <m/>
    <s v="Yes, send me more info"/>
    <s v="Sales"/>
    <s v="I've been to 32 countries."/>
    <s v="Food"/>
    <m/>
    <s v="Yes"/>
    <m/>
  </r>
  <r>
    <x v="0"/>
    <n v="47671713"/>
    <d v="2024-03-25T11:23:00"/>
    <s v="Austin"/>
    <s v="Cabin Lodging | Early Bird"/>
    <m/>
    <n v="575"/>
    <n v="600.59"/>
    <n v="25.59"/>
    <s v="Male"/>
    <d v="1998-06-20T00:00:00"/>
    <n v="25"/>
    <s v="Cedar Rapids"/>
    <s v="IA"/>
    <n v="52403"/>
    <s v="US"/>
    <s v="Confirm"/>
    <s v="L"/>
    <s v="None"/>
    <m/>
    <s v="No preference"/>
    <m/>
    <m/>
    <m/>
    <s v="Culturally Jewish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s v="Yes"/>
    <m/>
    <s v="Camp Herzl and Camp Osrui"/>
    <s v="N/A"/>
    <m/>
    <m/>
    <s v="No"/>
    <m/>
    <s v="No"/>
    <m/>
    <s v="I play on a broomball team"/>
    <s v="Anything with cheese"/>
    <s v="I am newly back in Minnesota, looking to meet other folks new to the area and/or Jewish"/>
    <s v="Yes"/>
    <m/>
  </r>
  <r>
    <x v="0"/>
    <n v="46974287"/>
    <d v="2024-03-25T12:47:00"/>
    <s v="Baranes"/>
    <s v="Cabin Lodging | Early Bird"/>
    <m/>
    <n v="575"/>
    <n v="602"/>
    <n v="27.01"/>
    <s v="Female"/>
    <d v="1996-06-04T00:00:00"/>
    <n v="28"/>
    <s v="Chicago"/>
    <s v="IL"/>
    <n v="60640"/>
    <s v="US"/>
    <s v="Confirm"/>
    <s v="L"/>
    <s v="Vegetarian"/>
    <m/>
    <s v="Female Cabin"/>
    <m/>
    <m/>
    <s v="TBD"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s v="Yes"/>
    <m/>
    <m/>
    <m/>
    <s v="Congregation Etz Chaim (Lombard, IL) - Rabbi Wainer"/>
    <s v="No"/>
    <m/>
    <s v="Yes, send me more info"/>
    <s v="Accountant at Google Chicago"/>
    <s v="Can juggle 4 balls"/>
    <s v="Popcorn"/>
    <s v="Super excited for a camp experience I never had! I converted to Judaism last year."/>
    <s v="Yes"/>
    <m/>
  </r>
  <r>
    <x v="0"/>
    <n v="48222146"/>
    <d v="2024-03-25T14:59:00"/>
    <s v="Beatus"/>
    <s v="Cabin Lodging | Early Bird"/>
    <s v="SMORECHI"/>
    <n v="555"/>
    <n v="579.89"/>
    <n v="24.89"/>
    <s v="Female"/>
    <d v="1993-11-01T00:00:00"/>
    <n v="30"/>
    <s v="Chicago"/>
    <s v="IL"/>
    <n v="60640"/>
    <s v="US"/>
    <s v="Confirm"/>
    <s v="XL"/>
    <s v="None"/>
    <m/>
    <s v="Female Cabin"/>
    <m/>
    <m/>
    <s v="Alyssa Schor, Liz rice, Melissa Fradkin, Hayley Alperstein, any Orlov"/>
    <s v="Conservative"/>
    <m/>
    <s v="Yes"/>
    <m/>
    <m/>
    <m/>
    <m/>
    <m/>
    <m/>
    <m/>
    <m/>
    <m/>
    <m/>
    <m/>
    <m/>
    <m/>
    <m/>
    <m/>
    <m/>
    <m/>
    <m/>
    <s v="Yes"/>
    <s v="Yes"/>
    <m/>
    <s v="Yes"/>
    <m/>
    <m/>
    <m/>
    <m/>
    <m/>
    <m/>
    <m/>
    <m/>
    <m/>
    <m/>
    <m/>
    <m/>
    <m/>
    <m/>
    <m/>
    <m/>
    <m/>
    <m/>
    <m/>
    <s v="Yes"/>
    <m/>
    <m/>
    <s v="Nock-a-Mixon"/>
    <m/>
    <m/>
    <m/>
    <s v="No"/>
    <m/>
    <s v="Yes, send me more info"/>
    <s v="Media planning supervisor"/>
    <m/>
    <s v="Pretzels"/>
    <m/>
    <s v="Yes"/>
    <m/>
  </r>
  <r>
    <x v="0"/>
    <n v="48127351"/>
    <d v="2024-03-25T21:32:00"/>
    <s v="Cohen"/>
    <s v="Private Lodging - Double | Early Bird"/>
    <m/>
    <n v="775"/>
    <n v="1615.18"/>
    <n v="65.180000000000007"/>
    <s v="Female"/>
    <d v="1997-08-19T00:00:00"/>
    <n v="26"/>
    <s v="Glendale"/>
    <s v="WI"/>
    <n v="53209"/>
    <s v="US"/>
    <s v="Confirm"/>
    <s v="M"/>
    <s v="None"/>
    <m/>
    <m/>
    <s v="Yes"/>
    <s v="Shea Thurling, 805-501-7565, JSThurling@gmail.com"/>
    <m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Yes"/>
    <m/>
    <s v="Jewish Summer Camps"/>
    <m/>
    <m/>
    <m/>
    <s v="No"/>
    <m/>
    <s v="Yes, send me more info"/>
    <s v="MD/PHD Student"/>
    <s v="Competitive Horseback Rider"/>
    <s v="Chocolate"/>
    <s v="N/A"/>
    <s v="Yes"/>
    <m/>
  </r>
  <r>
    <x v="0"/>
    <n v="46907295"/>
    <d v="2024-03-25T22:07:00"/>
    <s v="Cooper"/>
    <s v="Cabin Lodging | Early Bird"/>
    <m/>
    <n v="575"/>
    <n v="600.29"/>
    <n v="25.3"/>
    <s v="Female"/>
    <d v="1986-07-30T00:00:00"/>
    <n v="38"/>
    <s v="St Louis"/>
    <s v="MO"/>
    <n v="63146"/>
    <s v="US"/>
    <s v="Confirm"/>
    <s v="XL"/>
    <s v="None"/>
    <m/>
    <s v="No preference"/>
    <m/>
    <m/>
    <s v="David Coons, Eimileanne Delaney, Stacy Kaplan, Taylor Richier, Cameron Trejbal"/>
    <s v="Just Jewish"/>
    <m/>
    <s v="Yes"/>
    <m/>
    <m/>
    <m/>
    <m/>
    <m/>
    <m/>
    <m/>
    <m/>
    <m/>
    <m/>
    <m/>
    <m/>
    <m/>
    <m/>
    <m/>
    <m/>
    <m/>
    <m/>
    <m/>
    <s v="Yes"/>
    <m/>
    <s v="Yes"/>
    <m/>
    <m/>
    <m/>
    <m/>
    <m/>
    <m/>
    <m/>
    <m/>
    <m/>
    <m/>
    <m/>
    <m/>
    <m/>
    <m/>
    <m/>
    <m/>
    <m/>
    <m/>
    <m/>
    <m/>
    <m/>
    <s v="Yes"/>
    <m/>
    <m/>
    <m/>
    <m/>
    <s v="Yes"/>
    <s v="I have ADHD which primarily manifests with sensory processing issues, so I can get sensory overload very easily. I will just need to have access to a space where I can just chill."/>
    <s v="No"/>
    <s v="I work for a non-profit which supports underresourced youth by helping closing the gap in academic achievement and social emotional development. I work as the volunteer coordinator and I lead one of our sites."/>
    <s v="I have a degree from a French university (I also have a degree in French from an American university)"/>
    <s v="a banana"/>
    <s v="The country that shares the longest border with France is Brazil."/>
    <s v="Yes"/>
    <m/>
  </r>
  <r>
    <x v="0"/>
    <n v="48226581"/>
    <d v="2024-03-25T22:57:00"/>
    <s v="Ehrmann"/>
    <s v="Private Lodging - Double | Standard"/>
    <m/>
    <n v="875"/>
    <n v="911.09"/>
    <n v="36.090000000000003"/>
    <s v="Non-Binary"/>
    <d v="1992-08-31T00:00:00"/>
    <n v="31"/>
    <s v="Chicago"/>
    <s v="IL"/>
    <n v="60610"/>
    <s v="US"/>
    <s v="Confirm"/>
    <s v="M"/>
    <s v="None"/>
    <m/>
    <m/>
    <s v="Yes"/>
    <s v="I'm attending with my partner, Cat McKay (she might have registered as Catherine). We would like to share a room with a queen bed instead of two twins."/>
    <m/>
    <s v="Culturally Jewish"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s v="Yes"/>
    <s v="Yes"/>
    <m/>
    <s v="Ramah Day Camp, Camp Chi"/>
    <m/>
    <m/>
    <m/>
    <s v="No"/>
    <m/>
    <s v="Maybe"/>
    <m/>
    <s v="I'm an Australian citizen."/>
    <s v="Brownies"/>
    <m/>
    <s v="Yes"/>
    <m/>
  </r>
  <r>
    <x v="0"/>
    <n v="46965757"/>
    <d v="2024-03-25T23:32:00"/>
    <s v="feldman"/>
    <s v="Private Lodging - Single | Early Bird"/>
    <m/>
    <n v="875"/>
    <n v="910.79"/>
    <n v="35.799999999999997"/>
    <s v="Male"/>
    <d v="1996-11-21T00:00:00"/>
    <n v="27"/>
    <s v="Chicago"/>
    <s v="IL"/>
    <n v="60622"/>
    <s v="US"/>
    <s v="Confirm"/>
    <s v="XL"/>
    <s v="Kosher"/>
    <m/>
    <m/>
    <m/>
    <m/>
    <m/>
    <s v="Conservative"/>
    <m/>
    <s v="Yes"/>
    <m/>
    <m/>
    <m/>
    <m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s v="winadu, birchmont"/>
    <m/>
    <m/>
    <m/>
    <s v="No"/>
    <m/>
    <s v="No"/>
    <s v="lawyer"/>
    <s v="i played the trumpet as a kid"/>
    <s v="chips"/>
    <m/>
    <s v="Yes"/>
    <m/>
  </r>
  <r>
    <x v="0"/>
    <n v="48188718"/>
    <d v="2024-03-26T16:18:00"/>
    <s v="feldman"/>
    <s v="Cabin Lodging | Early Bird"/>
    <m/>
    <n v="575"/>
    <n v="1201.18"/>
    <n v="51.18"/>
    <s v="Female"/>
    <d v="1997-03-14T00:00:00"/>
    <n v="27"/>
    <s v="Fort Lauderdale"/>
    <s v="FL"/>
    <n v="33301"/>
    <s v="US"/>
    <s v="Confirm"/>
    <s v="S"/>
    <s v="None"/>
    <m/>
    <s v="Co-ed Cabin"/>
    <m/>
    <m/>
    <s v="Sarah Goone"/>
    <s v="Culturally Jewish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s v="Yes"/>
    <m/>
    <m/>
    <m/>
    <m/>
    <s v="No"/>
    <m/>
    <s v="No"/>
    <s v="Metalsmith"/>
    <s v="I tend to do the worm at DJ'ed events"/>
    <s v="Anything involving peanut butter"/>
    <m/>
    <s v="Yes"/>
    <m/>
  </r>
  <r>
    <x v="0"/>
    <n v="47726270"/>
    <d v="2024-03-26T23:43:00"/>
    <s v="Ferenczy"/>
    <s v="Private Lodging - Single | Early Bird"/>
    <m/>
    <n v="875"/>
    <n v="911.09"/>
    <n v="36.090000000000003"/>
    <s v="Male"/>
    <d v="1986-12-18T00:00:00"/>
    <n v="37"/>
    <s v="Elmhurst"/>
    <s v="IL"/>
    <n v="60126"/>
    <s v="US"/>
    <s v="Confirm"/>
    <s v="XXL"/>
    <s v="None"/>
    <m/>
    <m/>
    <m/>
    <m/>
    <m/>
    <s v="Reform"/>
    <m/>
    <s v="Yes"/>
    <m/>
    <m/>
    <m/>
    <m/>
    <m/>
    <m/>
    <m/>
    <m/>
    <m/>
    <m/>
    <m/>
    <m/>
    <m/>
    <m/>
    <m/>
    <m/>
    <m/>
    <m/>
    <m/>
    <s v="Yes"/>
    <m/>
    <m/>
    <m/>
    <m/>
    <s v="Yes"/>
    <m/>
    <m/>
    <m/>
    <m/>
    <m/>
    <m/>
    <m/>
    <m/>
    <m/>
    <m/>
    <m/>
    <m/>
    <m/>
    <m/>
    <m/>
    <m/>
    <s v="Yes"/>
    <m/>
    <m/>
    <s v="Camp Isadore-Alterman"/>
    <m/>
    <m/>
    <m/>
    <s v="Yes"/>
    <s v="Ehlers-Danlos Syndrome, Hypermobile Type. I am somewhat mobility disabled -- I use a forearm crutch to help me get around and sometimes required a helpful lift on a golfcart last year at the Trybal Midwest camp. Additionally, I can't really run, but we managed last year to make basically everything adaptive/adaptable for me."/>
    <s v="Yes, send me more info"/>
    <s v="Student"/>
    <s v="I make model cars?"/>
    <s v="French fries"/>
    <s v="I'm a transgender man, or rather, I tend to refer to myself as a transman (as in an FTM, so I go by tradition male pronouns, ie he/him)"/>
    <s v="Yes"/>
    <m/>
  </r>
  <r>
    <x v="0"/>
    <n v="46923792"/>
    <d v="2024-03-27T11:03:00"/>
    <s v="Fleischmann"/>
    <s v="Private Lodging - Single | Early Bird"/>
    <s v="PRESALE24"/>
    <n v="875"/>
    <n v="0"/>
    <n v="0"/>
    <s v="Male"/>
    <d v="1994-05-06T00:00:00"/>
    <n v="29"/>
    <s v="Chicago"/>
    <s v="IL"/>
    <n v="60657"/>
    <s v="US"/>
    <s v="Confirm"/>
    <s v="XXL"/>
    <s v="None"/>
    <m/>
    <m/>
    <m/>
    <m/>
    <m/>
    <s v="Conservative"/>
    <m/>
    <s v="Yes"/>
    <s v="Yes"/>
    <m/>
    <m/>
    <m/>
    <m/>
    <s v="Yes"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s v="town day camp"/>
    <m/>
    <m/>
    <m/>
    <s v="Yes"/>
    <s v="Chronic constipation. I have to wake up early for the bathroom to be on time. Right ankle fracture screws and plate. No high-impact activities- running, jumping, kicking, etc."/>
    <s v="No"/>
    <m/>
    <s v="I like road trips."/>
    <m/>
    <s v="I like soda. Especially cherry vanilla Pepsi."/>
    <s v="Yes"/>
    <m/>
  </r>
  <r>
    <x v="0"/>
    <n v="48158343"/>
    <d v="2024-03-27T13:30:00"/>
    <s v="Fradkin"/>
    <s v="Cabin Lodging | Early Bird"/>
    <s v="SMORECHI"/>
    <n v="555"/>
    <n v="579.89"/>
    <n v="24.89"/>
    <s v="Female"/>
    <d v="1992-11-01T00:00:00"/>
    <n v="31"/>
    <s v="Glen Ellyn"/>
    <s v="IL"/>
    <n v="60137"/>
    <s v="US"/>
    <s v="Confirm"/>
    <s v="M"/>
    <s v="Gluten-free, Dairy-free"/>
    <m/>
    <s v="Female Cabin"/>
    <m/>
    <m/>
    <s v="Alyssa Schor, Amy Orlov, Hayley Alperstein, Liz Rice, Skylar Beatus"/>
    <s v="Reform"/>
    <m/>
    <s v="Yes"/>
    <m/>
    <m/>
    <m/>
    <m/>
    <m/>
    <m/>
    <m/>
    <m/>
    <m/>
    <m/>
    <m/>
    <m/>
    <m/>
    <m/>
    <m/>
    <m/>
    <m/>
    <m/>
    <s v="Yes"/>
    <s v="Yes"/>
    <m/>
    <m/>
    <m/>
    <m/>
    <m/>
    <m/>
    <m/>
    <m/>
    <m/>
    <m/>
    <m/>
    <m/>
    <m/>
    <m/>
    <m/>
    <m/>
    <m/>
    <m/>
    <m/>
    <m/>
    <m/>
    <m/>
    <m/>
    <s v="Yes"/>
    <m/>
    <m/>
    <m/>
    <m/>
    <s v="No"/>
    <m/>
    <s v="Yes, send me more info"/>
    <s v="Consultant"/>
    <s v="I volunteered on an archeological dig in Israel"/>
    <s v="sour gummies"/>
    <m/>
    <s v="Yes"/>
    <m/>
  </r>
  <r>
    <x v="0"/>
    <n v="46958334"/>
    <d v="2024-03-27T15:02:00"/>
    <s v="Franklin"/>
    <s v="Private Lodging - Single | Early Bird"/>
    <m/>
    <n v="875"/>
    <n v="910.79"/>
    <n v="35.799999999999997"/>
    <s v="Female"/>
    <d v="1983-08-18T00:00:00"/>
    <n v="40"/>
    <s v="Chicago"/>
    <s v="IL"/>
    <n v="60613"/>
    <s v="US"/>
    <s v="Confirm"/>
    <s v="XXL"/>
    <s v="Other"/>
    <s v="Allergic to avocados and figs."/>
    <m/>
    <m/>
    <m/>
    <m/>
    <s v="Reform"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s v="Yes"/>
    <s v="Yes"/>
    <m/>
    <s v="Apachi Day Camp for many years and Camp Chi for one year."/>
    <m/>
    <m/>
    <m/>
    <s v="No"/>
    <m/>
    <s v="No"/>
    <s v="Traffic Manager"/>
    <s v="I have a cat named Haru who I love very much."/>
    <s v="Anything sweet."/>
    <s v="I'm very excited for this!"/>
    <s v="Yes"/>
    <m/>
  </r>
  <r>
    <x v="0"/>
    <n v="48196068"/>
    <d v="2024-03-27T20:32:00"/>
    <s v="Friedman"/>
    <s v="Cabin Lodging | Early Bird"/>
    <m/>
    <n v="575"/>
    <n v="600.59"/>
    <n v="25.59"/>
    <s v="Male"/>
    <d v="1993-04-08T00:00:00"/>
    <n v="31"/>
    <s v="Chicago"/>
    <s v="IL"/>
    <n v="60640"/>
    <s v="US"/>
    <s v="Confirm"/>
    <s v="M"/>
    <s v="None"/>
    <m/>
    <s v="Co-ed Cabin"/>
    <m/>
    <m/>
    <m/>
    <s v="Reform"/>
    <m/>
    <s v="Yes"/>
    <s v="Yes"/>
    <m/>
    <m/>
    <m/>
    <m/>
    <m/>
    <m/>
    <m/>
    <m/>
    <m/>
    <m/>
    <m/>
    <m/>
    <m/>
    <m/>
    <m/>
    <m/>
    <m/>
    <s v="Yes"/>
    <s v="Yes"/>
    <s v="Yes"/>
    <s v="Yes"/>
    <m/>
    <m/>
    <m/>
    <m/>
    <m/>
    <m/>
    <m/>
    <m/>
    <m/>
    <m/>
    <m/>
    <m/>
    <m/>
    <m/>
    <m/>
    <m/>
    <m/>
    <m/>
    <m/>
    <s v="Yes"/>
    <s v="Yes"/>
    <m/>
    <s v="North Star Camp"/>
    <m/>
    <m/>
    <m/>
    <s v="No"/>
    <m/>
    <s v="Maybe"/>
    <s v="Paralegal"/>
    <s v="Running my first marathon this year"/>
    <s v="Pizza"/>
    <m/>
    <s v="Yes"/>
    <m/>
  </r>
  <r>
    <x v="0"/>
    <n v="48186012"/>
    <d v="2024-03-28T01:17:00"/>
    <s v="Goone"/>
    <s v="Cabin Lodging | Early Bird"/>
    <m/>
    <n v="575"/>
    <n v="602.29999999999995"/>
    <n v="27.3"/>
    <s v="Female"/>
    <d v="1990-05-13T00:00:00"/>
    <n v="34"/>
    <s v="Chicago"/>
    <s v="IL"/>
    <n v="60642"/>
    <s v="US"/>
    <s v="Confirm"/>
    <s v="S"/>
    <s v="Vegan, Dairy-free"/>
    <m/>
    <s v="Co-ed Cabin"/>
    <m/>
    <m/>
    <s v="Nora Feldman and Andy Masters"/>
    <s v="Culturally Jewish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Yes"/>
    <m/>
    <m/>
    <s v="Harand"/>
    <m/>
    <m/>
    <m/>
    <s v="No"/>
    <m/>
    <s v="Maybe"/>
    <s v="Artist"/>
    <s v="I used to be a puppet fabricator!"/>
    <s v="A bowl of cereal"/>
    <m/>
    <s v="Yes"/>
    <m/>
  </r>
  <r>
    <x v="0"/>
    <n v="46950738"/>
    <d v="2024-04-07T19:28:00"/>
    <s v="Grosman"/>
    <s v="Cabin Lodging | Early Bird"/>
    <s v="PRESALE24"/>
    <n v="575"/>
    <n v="0"/>
    <n v="0"/>
    <s v="Female"/>
    <d v="1991-09-25T00:00:00"/>
    <n v="32"/>
    <s v="Milwaukee"/>
    <s v="WI"/>
    <n v="53202"/>
    <s v="US"/>
    <s v="Confirm"/>
    <s v="S"/>
    <s v="None"/>
    <m/>
    <s v="Co-ed Cabin"/>
    <m/>
    <m/>
    <m/>
    <s v="Culturally Jewish"/>
    <m/>
    <s v="Yes"/>
    <m/>
    <m/>
    <m/>
    <m/>
    <m/>
    <m/>
    <m/>
    <m/>
    <m/>
    <m/>
    <m/>
    <m/>
    <m/>
    <m/>
    <m/>
    <m/>
    <m/>
    <m/>
    <m/>
    <s v="Yes"/>
    <m/>
    <s v="Yes"/>
    <m/>
    <m/>
    <m/>
    <m/>
    <m/>
    <m/>
    <m/>
    <m/>
    <m/>
    <m/>
    <m/>
    <m/>
    <m/>
    <m/>
    <m/>
    <m/>
    <m/>
    <m/>
    <m/>
    <m/>
    <s v="Yes"/>
    <m/>
    <s v="Camp Nageela Midwest"/>
    <m/>
    <m/>
    <m/>
    <s v="No"/>
    <m/>
    <s v="Maybe"/>
    <s v="Studying for credentialing exam to become registered dietitian; babysitting, petsitting"/>
    <s v="I ran a half marathon, called the Midnight Mile, via my middle school all 3 years."/>
    <s v="Either breakfast food or Ritz sour cream &amp; onion toasted chips"/>
    <s v="I'd love to see yoga offered during a break or as a scheduled activity before bedtime (even better if it's parseired with a soundbath), not in the early morning. I'm not a morning person at all. I'd also love to see soundbath, zipline or ropes course, &amp; horseback riding offered this year. Vizzy's, Olipop (cream soda &amp; strawberry vanilla), &amp; Press are my fav drinks."/>
    <s v="Yes"/>
    <m/>
  </r>
  <r>
    <x v="0"/>
    <n v="48213747"/>
    <d v="2024-04-10T09:27:00"/>
    <s v="Kamler"/>
    <s v="Private Lodging - Double | Early Bird"/>
    <m/>
    <n v="775"/>
    <n v="807.59"/>
    <n v="32.590000000000003"/>
    <s v="Non-Binary"/>
    <d v="1993-04-20T00:00:00"/>
    <n v="31"/>
    <s v="Englewood"/>
    <s v="CO"/>
    <n v="80112"/>
    <s v="US"/>
    <s v="Confirm"/>
    <s v="L"/>
    <s v="Other"/>
    <s v="I just don't eat red meat and/or mammals! Chicken and fish is fine :)"/>
    <m/>
    <s v="No, assign me an awesome roommate!"/>
    <m/>
    <m/>
    <s v="Reform"/>
    <m/>
    <s v="Yes"/>
    <s v="Yes"/>
    <m/>
    <m/>
    <m/>
    <m/>
    <m/>
    <m/>
    <m/>
    <m/>
    <m/>
    <m/>
    <m/>
    <m/>
    <m/>
    <m/>
    <m/>
    <m/>
    <m/>
    <s v="Yes"/>
    <m/>
    <m/>
    <s v="Yes"/>
    <m/>
    <m/>
    <m/>
    <m/>
    <m/>
    <m/>
    <m/>
    <m/>
    <m/>
    <m/>
    <m/>
    <m/>
    <m/>
    <m/>
    <m/>
    <m/>
    <m/>
    <m/>
    <m/>
    <m/>
    <s v="Yes"/>
    <m/>
    <s v="Girl Scout Camp in Missouri, Catholic Camp in Missouri (lol)"/>
    <m/>
    <m/>
    <m/>
    <s v="No"/>
    <m/>
    <s v="Yes, send me more info"/>
    <s v="I work at Temple Sholom of Chicago in Engagement &amp; Membership!"/>
    <s v="I've performed onstage at Shakespeare's Globe Theatre in London!"/>
    <s v="popcorn or frozen yogurt"/>
    <s v="I'm fine with a random roommate and comfortable rooming with women (don't assign me to room with Rabbi Max from Temple Sholom)! I'm sober so appreciate some N/A options being available. I understand that gendered bathrooms are hard to avoid at older facilities, but a heads up of what the facilities are is nice so I can just be prepared mentally :)"/>
    <s v="Yes"/>
    <m/>
  </r>
  <r>
    <x v="0"/>
    <n v="48182388"/>
    <d v="2024-04-15T11:12:00"/>
    <s v="Kaplan"/>
    <s v="Cabin Lodging | Early Bird"/>
    <m/>
    <n v="575"/>
    <n v="1201.18"/>
    <n v="51.18"/>
    <s v="Male"/>
    <d v="1993-06-06T00:00:00"/>
    <n v="30"/>
    <s v="Chicago"/>
    <s v="IL"/>
    <n v="60651"/>
    <s v="US"/>
    <s v="Confirm"/>
    <s v="XXL"/>
    <s v="None"/>
    <m/>
    <s v="Male Cabin"/>
    <m/>
    <m/>
    <m/>
    <s v="Culturally Jewish"/>
    <m/>
    <s v="Yes"/>
    <m/>
    <m/>
    <m/>
    <m/>
    <m/>
    <m/>
    <m/>
    <m/>
    <m/>
    <m/>
    <m/>
    <m/>
    <m/>
    <m/>
    <m/>
    <s v="Yes"/>
    <m/>
    <m/>
    <s v="Yes"/>
    <s v="Yes"/>
    <m/>
    <m/>
    <m/>
    <m/>
    <m/>
    <m/>
    <m/>
    <m/>
    <m/>
    <m/>
    <m/>
    <m/>
    <m/>
    <m/>
    <m/>
    <m/>
    <m/>
    <m/>
    <m/>
    <m/>
    <m/>
    <m/>
    <s v="Yes"/>
    <m/>
    <s v="Camp Seneca Lake"/>
    <m/>
    <m/>
    <m/>
    <s v="No"/>
    <m/>
    <s v="No"/>
    <s v="Attorney"/>
    <s v="I have a YouTube channel"/>
    <s v="Gummies"/>
    <m/>
    <s v="Yes"/>
    <m/>
  </r>
  <r>
    <x v="0"/>
    <n v="48182388"/>
    <d v="2024-04-16T20:46:00"/>
    <s v="Kaplan"/>
    <s v="Cabin Lodging | Early Bird"/>
    <m/>
    <n v="575"/>
    <n v="1201.18"/>
    <n v="51.18"/>
    <s v="Female"/>
    <d v="1992-07-23T00:00:00"/>
    <n v="31"/>
    <s v="Chicago"/>
    <s v="IL"/>
    <n v="60657"/>
    <s v="US"/>
    <s v="Confirm"/>
    <s v="L"/>
    <s v="None"/>
    <m/>
    <s v="Female Cabin"/>
    <m/>
    <m/>
    <m/>
    <s v="Culturally Jewish"/>
    <m/>
    <s v="Yes"/>
    <m/>
    <m/>
    <m/>
    <m/>
    <m/>
    <m/>
    <m/>
    <m/>
    <m/>
    <m/>
    <m/>
    <m/>
    <m/>
    <m/>
    <m/>
    <s v="Yes"/>
    <m/>
    <m/>
    <s v="Yes"/>
    <s v="Yes"/>
    <m/>
    <m/>
    <m/>
    <m/>
    <m/>
    <m/>
    <m/>
    <m/>
    <m/>
    <m/>
    <m/>
    <m/>
    <m/>
    <m/>
    <m/>
    <m/>
    <m/>
    <m/>
    <m/>
    <m/>
    <m/>
    <m/>
    <s v="Yes"/>
    <m/>
    <s v="OSRUI, Camp George"/>
    <m/>
    <m/>
    <m/>
    <s v="No"/>
    <m/>
    <s v="No"/>
    <s v="Event Planning"/>
    <s v="I don't like any hot beverages including soup."/>
    <s v="Gummy Candy"/>
    <m/>
    <s v="Yes"/>
    <m/>
  </r>
  <r>
    <x v="0"/>
    <n v="46906002"/>
    <d v="2024-04-23T11:52:00"/>
    <s v="Kern"/>
    <s v="Cabin Lodging | Early Bird"/>
    <s v="PRESALE24"/>
    <n v="575"/>
    <n v="0"/>
    <n v="0"/>
    <s v="Female"/>
    <d v="1985-02-12T00:00:00"/>
    <n v="39"/>
    <s v="New City"/>
    <s v="NY"/>
    <n v="10956"/>
    <s v="US"/>
    <s v="Confirm"/>
    <s v="L"/>
    <s v="None"/>
    <m/>
    <s v="Female Cabin"/>
    <m/>
    <m/>
    <s v="Anyone from Berkshires. Rebecca Abraham, Brian’s Finkelstein (if going)"/>
    <s v="Reform"/>
    <m/>
    <s v="Yes"/>
    <s v="Yes"/>
    <m/>
    <m/>
    <m/>
    <m/>
    <m/>
    <s v="Yes"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s v="Yes"/>
    <m/>
    <s v="Blue rill day camp , urj Eisner camp"/>
    <m/>
    <m/>
    <m/>
    <s v="No"/>
    <m/>
    <s v="Yes, send me more info"/>
    <s v="Teacher"/>
    <s v="I went to Cuba for a study abroad in college."/>
    <s v="Sour patch watermelon"/>
    <m/>
    <s v="Yes"/>
    <m/>
  </r>
  <r>
    <x v="0"/>
    <n v="46941408"/>
    <d v="2024-04-23T22:36:00"/>
    <s v="Lambert"/>
    <s v="Cabin Lodging | Early Bird"/>
    <m/>
    <n v="575"/>
    <n v="600.29"/>
    <n v="25.29"/>
    <s v="Male"/>
    <d v="1987-10-17T00:00:00"/>
    <n v="36"/>
    <s v="Chicago"/>
    <s v="IL"/>
    <n v="60613"/>
    <s v="US"/>
    <s v="Confirm"/>
    <s v="M"/>
    <s v="Kosher, Dairy-free"/>
    <m/>
    <s v="No preference"/>
    <m/>
    <m/>
    <s v="Benjamin C Lambert"/>
    <s v="Just Jewish"/>
    <m/>
    <s v="Yes"/>
    <s v="Yes"/>
    <m/>
    <m/>
    <m/>
    <m/>
    <m/>
    <m/>
    <m/>
    <m/>
    <m/>
    <m/>
    <m/>
    <m/>
    <m/>
    <m/>
    <m/>
    <m/>
    <m/>
    <m/>
    <s v="Yes"/>
    <m/>
    <s v="Yes"/>
    <m/>
    <m/>
    <m/>
    <m/>
    <m/>
    <m/>
    <m/>
    <m/>
    <m/>
    <m/>
    <m/>
    <m/>
    <m/>
    <m/>
    <m/>
    <m/>
    <m/>
    <m/>
    <m/>
    <m/>
    <s v="Yes"/>
    <m/>
    <s v="Greenwoods Camp (in Decatur, Michigan)"/>
    <m/>
    <m/>
    <m/>
    <s v="Yes"/>
    <s v="Crohn's Disease, Asthma"/>
    <s v="Maybe"/>
    <s v="I am an Adolescent Therapist, working with adolescent boys in Chicago Public Schools!"/>
    <s v="I like to throw knives for fun!"/>
    <s v="Dry cereal (fight me)"/>
    <m/>
    <s v="Yes"/>
    <m/>
  </r>
  <r>
    <x v="0"/>
    <n v="46912681"/>
    <d v="2024-04-25T09:55:00"/>
    <s v="Levine"/>
    <s v="Cabin Lodging | Early Bird"/>
    <s v="PRESALE24"/>
    <n v="575"/>
    <n v="0"/>
    <n v="0"/>
    <s v="Female"/>
    <d v="1998-11-21T00:00:00"/>
    <n v="25"/>
    <s v="Chicago"/>
    <s v="IL"/>
    <n v="60647"/>
    <s v="US"/>
    <s v="Confirm"/>
    <s v="L"/>
    <s v="None"/>
    <m/>
    <s v="Co-ed Cabin"/>
    <m/>
    <m/>
    <s v="Only the cool kids"/>
    <s v="Reform"/>
    <m/>
    <s v="Yes"/>
    <s v="Yes"/>
    <m/>
    <m/>
    <m/>
    <m/>
    <m/>
    <m/>
    <m/>
    <m/>
    <m/>
    <m/>
    <m/>
    <m/>
    <m/>
    <m/>
    <m/>
    <s v="Yes"/>
    <s v="Yes"/>
    <s v="Yes"/>
    <s v="Yes"/>
    <s v="Yes"/>
    <m/>
    <m/>
    <m/>
    <m/>
    <m/>
    <m/>
    <m/>
    <m/>
    <m/>
    <m/>
    <m/>
    <m/>
    <m/>
    <m/>
    <m/>
    <m/>
    <m/>
    <m/>
    <m/>
    <m/>
    <s v="Yes"/>
    <s v="Yes"/>
    <m/>
    <s v="Banner Day Camp, Lake of the Woods Overnight Camp, Beber Overnight Camp (staff)"/>
    <m/>
    <m/>
    <m/>
    <s v="No"/>
    <m/>
    <s v="Yes, send me more info"/>
    <s v="Promotional Product Sales aka swag/merch"/>
    <s v="Received a lap dance from Weird Al"/>
    <s v="Pretzels/Frosting"/>
    <m/>
    <s v="Yes"/>
    <m/>
  </r>
  <r>
    <x v="0"/>
    <n v="46963060"/>
    <d v="2024-04-27T12:17:00"/>
    <s v="Levy"/>
    <s v="Private Lodging - Single | Early Bird"/>
    <m/>
    <n v="875"/>
    <n v="913.39"/>
    <n v="38.4"/>
    <s v="Female"/>
    <d v="1997-02-08T00:00:00"/>
    <n v="27"/>
    <s v="Evanston"/>
    <s v="IL"/>
    <n v="60201"/>
    <s v="US"/>
    <s v="Confirm"/>
    <s v="M"/>
    <s v="None"/>
    <m/>
    <m/>
    <m/>
    <m/>
    <m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s v="Yes"/>
    <m/>
    <s v="Camp Chi"/>
    <s v="Lauren Schlesinger"/>
    <m/>
    <m/>
    <s v="No"/>
    <m/>
    <s v="No"/>
    <s v="IT Communications"/>
    <s v="I've been to every continent except for Antarctica."/>
    <s v="S'mores!"/>
    <s v="I went to Camp Chi for MANY years as a camper and a few years as a staff member. I'm looking forward to being back in that setting for nostalgia reasons."/>
    <s v="Yes"/>
    <m/>
  </r>
  <r>
    <x v="0"/>
    <n v="48341684"/>
    <d v="2024-04-27T20:28:00"/>
    <s v="Marell"/>
    <s v="Private Lodging - Double | Early Bird"/>
    <m/>
    <n v="775"/>
    <n v="807.59"/>
    <n v="32.590000000000003"/>
    <s v="Female"/>
    <d v="1988-03-10T00:00:00"/>
    <n v="35"/>
    <s v="Milwaukee"/>
    <s v="WI"/>
    <n v="53213"/>
    <s v="US"/>
    <s v="Confirm"/>
    <s v="XL"/>
    <s v="None"/>
    <m/>
    <m/>
    <s v="Yes"/>
    <s v="Rachel Scheer"/>
    <m/>
    <s v="Conservative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s v="Yes"/>
    <s v="Yes"/>
    <m/>
    <s v="Camp Eisner"/>
    <s v="Rachel Scheer"/>
    <m/>
    <m/>
    <s v="No"/>
    <m/>
    <s v="Maybe"/>
    <s v="Technology Consulting"/>
    <s v="I used to live and work in Times Square"/>
    <s v="chips"/>
    <m/>
    <s v="Yes"/>
    <m/>
  </r>
  <r>
    <x v="0"/>
    <n v="48188718"/>
    <d v="2024-04-27T20:28:00"/>
    <s v="Masters"/>
    <s v="Cabin Lodging | Early Bird"/>
    <m/>
    <n v="575"/>
    <n v="1201.18"/>
    <n v="51.18"/>
    <s v="Male"/>
    <d v="1986-03-20T00:00:00"/>
    <n v="38"/>
    <s v="Little Canada"/>
    <s v="MN"/>
    <n v="55109"/>
    <s v="US"/>
    <s v="Confirm"/>
    <s v="S"/>
    <s v="None"/>
    <m/>
    <s v="Co-ed Cabin"/>
    <m/>
    <m/>
    <s v="Sarah Goone and Nora Feldman"/>
    <s v="Culturally Jewish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s v="Yes"/>
    <m/>
    <m/>
    <m/>
    <m/>
    <s v="No"/>
    <m/>
    <s v="No"/>
    <s v="Nonprofit Accountant"/>
    <s v="I love all purple vegetables"/>
    <s v="Graham cracker cereal"/>
    <m/>
    <s v="Yes"/>
    <m/>
  </r>
  <r>
    <x v="0"/>
    <n v="46947967"/>
    <d v="2024-04-28T20:48:00"/>
    <s v="Moldover"/>
    <s v="Cabin Lodging | Early Bird"/>
    <s v="PRESALE24"/>
    <n v="575"/>
    <n v="0"/>
    <n v="0"/>
    <s v="Female"/>
    <d v="1996-02-08T00:00:00"/>
    <n v="28"/>
    <s v="Downers Grove"/>
    <s v="IL"/>
    <n v="60516"/>
    <s v="US"/>
    <s v="Confirm"/>
    <s v="S"/>
    <s v="None"/>
    <m/>
    <s v="Co-ed Cabin"/>
    <m/>
    <m/>
    <m/>
    <s v="Conservative"/>
    <m/>
    <s v="Yes"/>
    <s v="Yes"/>
    <m/>
    <m/>
    <m/>
    <m/>
    <m/>
    <m/>
    <m/>
    <m/>
    <m/>
    <m/>
    <m/>
    <m/>
    <m/>
    <m/>
    <m/>
    <m/>
    <m/>
    <s v="Yes"/>
    <s v="Yes"/>
    <s v="Yes"/>
    <m/>
    <m/>
    <m/>
    <m/>
    <m/>
    <m/>
    <m/>
    <m/>
    <m/>
    <m/>
    <m/>
    <m/>
    <m/>
    <m/>
    <m/>
    <m/>
    <m/>
    <m/>
    <m/>
    <m/>
    <s v="Yes"/>
    <s v="Yes"/>
    <m/>
    <s v="Capital Camps, JCC (of Greater Washington) as both camper and staff"/>
    <m/>
    <m/>
    <m/>
    <s v="No"/>
    <m/>
    <s v="Yes, send me more info"/>
    <s v="Attorney"/>
    <s v="I make really good, and really strong, cocktails"/>
    <s v="Mint Oreos"/>
    <s v="My niblings call me &quot;Cool Aunt Deb&quot; so you're know I'm cool"/>
    <s v="Yes"/>
    <m/>
  </r>
  <r>
    <x v="0"/>
    <n v="48225962"/>
    <d v="2024-04-29T11:10:00"/>
    <s v="Nelson"/>
    <s v="Cabin Lodging | Early Bird"/>
    <m/>
    <n v="575"/>
    <n v="600.59"/>
    <n v="25.59"/>
    <s v="Female"/>
    <d v="1994-05-24T00:00:00"/>
    <n v="29"/>
    <s v="Gaithersburg"/>
    <s v="MD"/>
    <n v="20878"/>
    <s v="US"/>
    <s v="Confirm"/>
    <s v="S"/>
    <s v="Kosher, Other"/>
    <s v="No mammal meat"/>
    <s v="Female Cabin"/>
    <m/>
    <m/>
    <m/>
    <s v="Conservative"/>
    <m/>
    <s v="Yes"/>
    <s v="Yes"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  <m/>
    <s v="Yes"/>
    <m/>
    <m/>
    <m/>
    <m/>
    <s v="No"/>
    <m/>
    <s v="Yes, send me more info"/>
    <s v="I work as finance specialist at healthcare company and data reporting analyst in my freelance job. I am also a full time distance runner 40 miles a week running with racing team once a week."/>
    <s v="I qualified for three major marathons (Boston, Chicago, NYC) and ran top 20% for women at this year's Boston marathon. I love to draw comic strips, to read different genres, and (very unique) to dream and to create my own stories. Mentioned from previous question, I love to run long distance to reduce stress and anxiety and to cook wholesome kosher meals."/>
    <s v="70% or bitter dark chocolate"/>
    <s v="I am originally from Miyagi Prefecture, Japan and converted twice from online and synagogue last year in conservative movement. I was not born and raised as a Jew but my ancestors who moved to USA were Ashkenazi Jewish and later Scandinavians."/>
    <s v="Yes"/>
    <m/>
  </r>
  <r>
    <x v="0"/>
    <n v="46920620"/>
    <d v="2024-04-29T13:39:00"/>
    <s v="Passman"/>
    <s v="Cabin Lodging | Early Bird"/>
    <s v="PRESALE24"/>
    <n v="575"/>
    <n v="0"/>
    <n v="0"/>
    <s v="Female"/>
    <d v="1987-04-16T00:00:00"/>
    <n v="36"/>
    <s v="Chicago"/>
    <s v="IL"/>
    <n v="60625"/>
    <s v="US"/>
    <s v="Confirm"/>
    <s v="XL"/>
    <s v="None"/>
    <m/>
    <s v="Female Cabin"/>
    <m/>
    <m/>
    <s v="Hayley Alperstein"/>
    <s v="Reform"/>
    <m/>
    <s v="Yes"/>
    <s v="Yes"/>
    <m/>
    <m/>
    <m/>
    <m/>
    <m/>
    <m/>
    <m/>
    <m/>
    <m/>
    <m/>
    <m/>
    <m/>
    <m/>
    <m/>
    <m/>
    <s v="Yes"/>
    <s v="Yes"/>
    <s v="Yes"/>
    <s v="Yes"/>
    <s v="Yes"/>
    <s v="Yes"/>
    <m/>
    <m/>
    <m/>
    <m/>
    <m/>
    <m/>
    <m/>
    <m/>
    <m/>
    <m/>
    <m/>
    <m/>
    <m/>
    <m/>
    <m/>
    <m/>
    <m/>
    <m/>
    <m/>
    <s v="Yes"/>
    <m/>
    <m/>
    <s v="Park district"/>
    <m/>
    <m/>
    <m/>
    <s v="No"/>
    <m/>
    <s v="Yes, send me more info"/>
    <s v="X-ray"/>
    <s v="I’ve been to ALL the Midwest Trybal camps"/>
    <s v="S’mores of course"/>
    <m/>
    <s v="Yes"/>
    <m/>
  </r>
  <r>
    <x v="0"/>
    <n v="48192678"/>
    <d v="2024-04-29T14:48:00"/>
    <s v="Paull"/>
    <s v="Cabin Lodging | Early Bird"/>
    <m/>
    <n v="575"/>
    <n v="602.29999999999995"/>
    <n v="27.3"/>
    <s v="Male"/>
    <d v="1999-06-20T00:00:00"/>
    <n v="25"/>
    <s v="Farmington Hills"/>
    <s v="MI"/>
    <n v="48336"/>
    <s v="US"/>
    <s v="Confirm"/>
    <s v="S"/>
    <s v="Vegetarian, Other"/>
    <s v="Pescatarian (eat fish)"/>
    <s v="Co-ed Cabin"/>
    <m/>
    <m/>
    <m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s v="Yes"/>
    <m/>
    <s v="Ben Frankel"/>
    <m/>
    <m/>
    <m/>
    <s v="No"/>
    <m/>
    <s v="Maybe"/>
    <s v="Sales Clerk"/>
    <s v="I love to train MMA"/>
    <s v="Berries"/>
    <m/>
    <s v="Yes"/>
    <m/>
  </r>
  <r>
    <x v="0"/>
    <n v="48222350"/>
    <d v="2024-04-29T16:59:00"/>
    <s v="Rice"/>
    <s v="Cabin Lodging | Early Bird"/>
    <s v="SMORECHI"/>
    <n v="555"/>
    <n v="579.89"/>
    <n v="24.89"/>
    <s v="Female"/>
    <d v="1995-08-03T00:00:00"/>
    <n v="28"/>
    <s v="montclair"/>
    <s v="NJ"/>
    <n v="7042"/>
    <s v="US"/>
    <s v="Confirm"/>
    <s v="M"/>
    <s v="None"/>
    <m/>
    <s v="Female Cabin"/>
    <m/>
    <m/>
    <s v="Skylar Beatus, Alyssa Schor, Hayley Alperstein, Melissa Fradkin, Amy Orlov"/>
    <s v="Culturally Jewish"/>
    <m/>
    <s v="Yes"/>
    <s v="Yes"/>
    <m/>
    <m/>
    <m/>
    <m/>
    <m/>
    <m/>
    <m/>
    <m/>
    <m/>
    <m/>
    <m/>
    <m/>
    <m/>
    <m/>
    <m/>
    <m/>
    <m/>
    <s v="Yes"/>
    <s v="Yes"/>
    <s v="Yes"/>
    <s v="Yes"/>
    <m/>
    <m/>
    <m/>
    <m/>
    <m/>
    <m/>
    <m/>
    <m/>
    <m/>
    <m/>
    <m/>
    <m/>
    <m/>
    <m/>
    <m/>
    <m/>
    <m/>
    <m/>
    <m/>
    <s v="Yes"/>
    <s v="Yes"/>
    <m/>
    <s v="Red Pine, Hoofbeat Ridge, Eco Quest Day Camp"/>
    <m/>
    <m/>
    <m/>
    <s v="No"/>
    <m/>
    <s v="Yes, send me more info"/>
    <s v="In-House Counsel at a large food and beverage company"/>
    <m/>
    <s v="Popcorn"/>
    <m/>
    <s v="Yes"/>
    <m/>
  </r>
  <r>
    <x v="0"/>
    <n v="48170157"/>
    <d v="2024-04-29T16:59:00"/>
    <s v="Richier"/>
    <s v="Cabin Lodging | Early Bird"/>
    <s v="TAYLORR"/>
    <n v="575"/>
    <n v="158.57"/>
    <n v="8.57"/>
    <s v="Male"/>
    <d v="1995-11-24T00:00:00"/>
    <n v="28"/>
    <s v="Chicago"/>
    <s v="IL"/>
    <n v="60657"/>
    <s v="US"/>
    <s v="Confirm"/>
    <s v="S"/>
    <s v="Other"/>
    <s v="Kosher-style"/>
    <s v="Co-ed Cabin"/>
    <m/>
    <m/>
    <s v="Polly Cooper, Laura Baranes, Ben Lambert"/>
    <s v="Reform"/>
    <m/>
    <s v="Yes"/>
    <m/>
    <m/>
    <m/>
    <m/>
    <m/>
    <m/>
    <m/>
    <m/>
    <m/>
    <m/>
    <m/>
    <m/>
    <m/>
    <m/>
    <m/>
    <m/>
    <m/>
    <m/>
    <m/>
    <s v="Yes"/>
    <m/>
    <s v="Yes"/>
    <m/>
    <m/>
    <m/>
    <m/>
    <m/>
    <m/>
    <m/>
    <m/>
    <m/>
    <m/>
    <m/>
    <m/>
    <m/>
    <m/>
    <m/>
    <m/>
    <m/>
    <m/>
    <m/>
    <s v="Yes"/>
    <m/>
    <m/>
    <s v="Brookfield Zoo Camp - staff"/>
    <m/>
    <m/>
    <m/>
    <s v="No"/>
    <m/>
    <s v="Maybe"/>
    <s v="Teacher of the visually impaired"/>
    <s v="I can read and write braille"/>
    <s v="crackers"/>
    <m/>
    <s v="Yes"/>
    <m/>
  </r>
  <r>
    <x v="0"/>
    <n v="47970039"/>
    <d v="2024-04-29T19:03:00"/>
    <s v="Schapiro"/>
    <s v="Cabin Lodging | Early Bird"/>
    <m/>
    <n v="575"/>
    <n v="600.59"/>
    <n v="25.59"/>
    <s v="Female"/>
    <d v="1994-06-17T00:00:00"/>
    <n v="29"/>
    <s v="Chicago"/>
    <s v="IL"/>
    <n v="60620"/>
    <s v="US"/>
    <s v="Confirm"/>
    <s v="M"/>
    <s v="Vegetarian"/>
    <m/>
    <s v="Female Cabin"/>
    <m/>
    <m/>
    <s v="Phoebe Skowronski"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s v="Yes"/>
    <m/>
    <s v="Osrui"/>
    <s v="Phoebe Skowronski"/>
    <m/>
    <m/>
    <s v="No"/>
    <m/>
    <s v="Yes, send me more info"/>
    <s v="Product Management"/>
    <s v="I have 2 patents"/>
    <s v="I try not to eat after 9 (but cheddar rice cakes)"/>
    <m/>
    <s v="Yes"/>
    <m/>
  </r>
  <r>
    <x v="0"/>
    <n v="46923130"/>
    <d v="2024-04-29T20:32:00"/>
    <s v="Schloss"/>
    <s v="Cabin Lodging | Early Bird"/>
    <s v="PRESALE24"/>
    <n v="575"/>
    <n v="0"/>
    <n v="0"/>
    <s v="Male"/>
    <d v="1993-05-09T00:00:00"/>
    <n v="31"/>
    <s v="Chicago"/>
    <s v="IL"/>
    <n v="60647"/>
    <s v="US"/>
    <s v="Confirm"/>
    <s v="M"/>
    <s v="None"/>
    <m/>
    <s v="Co-ed Cabin"/>
    <m/>
    <m/>
    <m/>
    <s v="Reform"/>
    <m/>
    <s v="Yes"/>
    <s v="Yes"/>
    <m/>
    <m/>
    <m/>
    <m/>
    <m/>
    <m/>
    <m/>
    <m/>
    <m/>
    <m/>
    <m/>
    <s v="Yes"/>
    <s v="Yes"/>
    <s v="Yes"/>
    <m/>
    <s v="Yes"/>
    <s v="Yes"/>
    <s v="Yes"/>
    <s v="Yes"/>
    <s v="Yes"/>
    <s v="Yes"/>
    <m/>
    <m/>
    <m/>
    <m/>
    <m/>
    <m/>
    <m/>
    <m/>
    <m/>
    <m/>
    <m/>
    <m/>
    <m/>
    <m/>
    <m/>
    <m/>
    <m/>
    <m/>
    <m/>
    <m/>
    <m/>
    <s v="Yes"/>
    <m/>
    <m/>
    <m/>
    <m/>
    <s v="No"/>
    <m/>
    <s v="Yes, send me more info"/>
    <s v="Technical Services Consultant/Team Lead -- I make the beeps boop at each other, occasionally telling other people how to do so along the way"/>
    <s v="I started a karaoke league, and often travel to go to metal shows!"/>
    <s v="A burrito"/>
    <m/>
    <s v="Yes"/>
    <m/>
  </r>
  <r>
    <x v="0"/>
    <n v="48106880"/>
    <d v="2024-04-29T23:33:00"/>
    <s v="Schor"/>
    <s v="Cabin Lodging | Early Bird"/>
    <s v="SMORECHI"/>
    <n v="555"/>
    <n v="581.54"/>
    <n v="26.54"/>
    <s v="Female"/>
    <d v="1993-12-28T00:00:00"/>
    <n v="30"/>
    <s v="Milwaukee"/>
    <s v="WI"/>
    <n v="53213"/>
    <s v="US"/>
    <s v="Confirm"/>
    <s v="L"/>
    <s v="Other"/>
    <s v="Peanut and tree nut allergy"/>
    <s v="Female Cabin"/>
    <m/>
    <m/>
    <s v="Skylar Beatus, Liz Rice, Hayley Alperstein, Melissa Fradkin, Amy Orlov"/>
    <s v="Conservative"/>
    <m/>
    <s v="Yes"/>
    <s v="Yes"/>
    <m/>
    <m/>
    <m/>
    <m/>
    <m/>
    <m/>
    <m/>
    <m/>
    <m/>
    <m/>
    <m/>
    <m/>
    <m/>
    <m/>
    <m/>
    <m/>
    <m/>
    <s v="Yes"/>
    <m/>
    <s v="Yes"/>
    <s v="Yes"/>
    <m/>
    <m/>
    <m/>
    <m/>
    <m/>
    <m/>
    <m/>
    <m/>
    <m/>
    <m/>
    <m/>
    <m/>
    <m/>
    <m/>
    <m/>
    <m/>
    <m/>
    <m/>
    <m/>
    <s v="Yes"/>
    <s v="Yes"/>
    <m/>
    <s v="JCC Youngstown Day Camp, Camp Wise (Cleveland)"/>
    <m/>
    <m/>
    <m/>
    <s v="No"/>
    <m/>
    <s v="Yes, send me more info"/>
    <s v="Public relations"/>
    <s v="I performed at Carnegie Hall when i was 16"/>
    <s v="Whatever I'm craving that night"/>
    <s v="Please no inflatable obstacle courses during color war!!!"/>
    <s v="Yes"/>
    <m/>
  </r>
  <r>
    <x v="0"/>
    <n v="48177976"/>
    <d v="2024-04-30T08:02:00"/>
    <s v="Sherman"/>
    <s v="Cabin Lodging | Early Bird"/>
    <m/>
    <n v="575"/>
    <n v="602.29999999999995"/>
    <n v="27.3"/>
    <s v="Male"/>
    <d v="1980-05-02T00:00:00"/>
    <n v="43"/>
    <s v="Chicago"/>
    <s v="IL"/>
    <n v="60651"/>
    <s v="US"/>
    <s v="Confirm"/>
    <s v="L"/>
    <s v="None"/>
    <m/>
    <s v="Co-ed Cabin"/>
    <m/>
    <m/>
    <s v="Laura Baranes"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m/>
    <m/>
    <m/>
    <m/>
    <m/>
    <s v="Yes"/>
    <m/>
    <s v="Laura Baranes"/>
    <m/>
    <m/>
    <s v="No"/>
    <m/>
    <s v="Maybe"/>
    <s v="Accountant"/>
    <s v="I go cold weather tent camping"/>
    <s v="Cookies"/>
    <m/>
    <s v="Yes"/>
    <m/>
  </r>
  <r>
    <x v="0"/>
    <n v="48175547"/>
    <d v="2024-04-30T16:17:00"/>
    <s v="Skowronski"/>
    <s v="Cabin Lodging | Early Bird"/>
    <m/>
    <n v="575"/>
    <n v="600.59"/>
    <n v="25.59"/>
    <s v="Female"/>
    <s v="11/31/96"/>
    <n v="27"/>
    <s v="Boston"/>
    <s v="MA"/>
    <n v="2127"/>
    <s v="US"/>
    <s v="Confirm"/>
    <s v="XL"/>
    <s v="Vegetarian, Gluten-free"/>
    <m/>
    <s v="Co-ed Cabin"/>
    <m/>
    <m/>
    <s v="Jessica Schapiro"/>
    <s v="Reform"/>
    <m/>
    <s v="Yes"/>
    <s v="Yes"/>
    <m/>
    <m/>
    <m/>
    <m/>
    <m/>
    <m/>
    <m/>
    <m/>
    <m/>
    <m/>
    <m/>
    <m/>
    <m/>
    <s v="Yes"/>
    <m/>
    <m/>
    <s v="Yes"/>
    <m/>
    <m/>
    <s v="Yes"/>
    <m/>
    <m/>
    <m/>
    <m/>
    <m/>
    <m/>
    <m/>
    <m/>
    <m/>
    <m/>
    <m/>
    <m/>
    <m/>
    <m/>
    <m/>
    <m/>
    <m/>
    <m/>
    <m/>
    <m/>
    <m/>
    <s v="Yes"/>
    <m/>
    <s v="Osrui"/>
    <m/>
    <m/>
    <m/>
    <s v="No"/>
    <m/>
    <s v="Maybe"/>
    <s v="Integration Business Analyst in Tech"/>
    <s v="I'm a landlord and urban farmer!"/>
    <s v="Ice Cream"/>
    <m/>
    <s v="Yes"/>
    <m/>
  </r>
  <r>
    <x v="0"/>
    <n v="49576301"/>
    <d v="2024-04-30T19:01:00"/>
    <s v="Sowerby"/>
    <s v="Cabin Lodging | Standard"/>
    <m/>
    <n v="725"/>
    <n v="755.84"/>
    <n v="30.84"/>
    <s v="Female"/>
    <d v="1987-03-20T00:00:00"/>
    <n v="37"/>
    <s v="Englewood"/>
    <s v="CO"/>
    <n v="80112"/>
    <s v="US"/>
    <s v="Confirm"/>
    <s v="S"/>
    <s v="None"/>
    <m/>
    <s v="No preference"/>
    <m/>
    <m/>
    <s v="Would love to be with alumni again, but I'm not picky! Liz Rice for sure!! 🥰"/>
    <s v="Reform"/>
    <m/>
    <s v="Yes"/>
    <m/>
    <m/>
    <m/>
    <m/>
    <m/>
    <m/>
    <m/>
    <m/>
    <m/>
    <m/>
    <m/>
    <m/>
    <m/>
    <m/>
    <m/>
    <m/>
    <m/>
    <m/>
    <s v="Yes"/>
    <s v="Yes"/>
    <s v="Yes"/>
    <s v="Yes"/>
    <m/>
    <m/>
    <m/>
    <m/>
    <m/>
    <m/>
    <m/>
    <m/>
    <m/>
    <m/>
    <m/>
    <m/>
    <m/>
    <m/>
    <m/>
    <m/>
    <m/>
    <m/>
    <m/>
    <s v="Yes"/>
    <m/>
    <m/>
    <s v="Camp Courageous"/>
    <m/>
    <m/>
    <m/>
    <s v="Yes"/>
    <s v="Heart Condition, prone to waiting and pre syncope when I have prolonged heat exposure. If I faint, I just need salt water or electrolyte replacement powder :) I usually keep some with me"/>
    <s v="Maybe"/>
    <s v="Graphic Designer"/>
    <s v="I have been in the top .001% of listeners for a band I like on my Spotify Wrapped for 5 years running. I have over 15,000 minutes of listening time on them!"/>
    <s v="Nutty Bars"/>
    <s v="I would like to help out with making name cookies this year! Everyone always loves my designs and Id be happy to arrive to camp early and help people make theirs!! &lt;3"/>
    <s v="Yes"/>
    <m/>
  </r>
  <r>
    <x v="0"/>
    <n v="48219113"/>
    <d v="2024-04-30T20:33:00"/>
    <s v="Stoller-Zak"/>
    <s v="Cabin Lodging | Early Bird"/>
    <m/>
    <n v="575"/>
    <n v="602.29999999999995"/>
    <n v="27.3"/>
    <s v="Female"/>
    <d v="1994-09-08T00:00:00"/>
    <n v="29"/>
    <s v="Chicago"/>
    <s v="IL"/>
    <n v="60657"/>
    <s v="US"/>
    <s v="Confirm"/>
    <s v="XXL"/>
    <s v="None"/>
    <m/>
    <s v="Female Cabin"/>
    <m/>
    <m/>
    <m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s v="Yes"/>
    <s v="Yes"/>
    <m/>
    <s v="Agawak, One Step, Skokie Park District"/>
    <m/>
    <s v="ChiTribe, JUF, Mishkan"/>
    <m/>
    <s v="No"/>
    <m/>
    <s v="Maybe"/>
    <s v="Licensed Clinical Professional Counselor (Psychotherapist)"/>
    <s v="I worked for People Magazine; I've never eaten Taco Bell."/>
    <s v="popcorn, s'mores, chocolate covered pretzels, M&amp;M's (plain, peanut, and peanut butter)"/>
    <s v="Depending on the fit of the t-shirt I may need larger than XXL."/>
    <s v="Yes"/>
    <m/>
  </r>
  <r>
    <x v="0"/>
    <n v="46905852"/>
    <d v="2024-04-30T20:39:00"/>
    <s v="Szteinberg"/>
    <s v="Cabin Lodging | Early Bird"/>
    <m/>
    <n v="575"/>
    <n v="600.29"/>
    <n v="25.3"/>
    <s v="Female"/>
    <d v="1993-08-05T00:00:00"/>
    <n v="30"/>
    <s v="Washington"/>
    <s v="DC"/>
    <n v="20009"/>
    <s v="US"/>
    <s v="Confirm"/>
    <s v="XXL"/>
    <s v="None"/>
    <m/>
    <s v="Female Cabin"/>
    <m/>
    <m/>
    <s v="Sydney Zusman, Shoshi Shapiro"/>
    <s v="Just Jewish"/>
    <m/>
    <s v="Yes"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  <m/>
    <s v="Yes"/>
    <s v="Yes"/>
    <m/>
    <s v="Camp Tranquility, Friedberg JCC Camps, Sunrise Day Camp"/>
    <m/>
    <m/>
    <m/>
    <s v="No"/>
    <m/>
    <s v="No"/>
    <s v="Software Engineer at a HealthTech company"/>
    <s v="I like to crochet and read"/>
    <s v="Pretzels"/>
    <m/>
    <s v="Yes"/>
    <m/>
  </r>
  <r>
    <x v="0"/>
    <n v="47367041"/>
    <d v="2024-04-30T22:00:00"/>
    <s v="Talcove-Berko"/>
    <s v="Cabin Lodging | Early Bird"/>
    <m/>
    <n v="575"/>
    <n v="600.59"/>
    <n v="25.59"/>
    <s v="Female"/>
    <d v="1981-02-20T00:00:00"/>
    <n v="43"/>
    <s v="Chicago"/>
    <s v="IL"/>
    <n v="60614"/>
    <s v="US"/>
    <s v="Confirm"/>
    <s v="M"/>
    <s v="Other"/>
    <s v="I don’t eat red meat"/>
    <s v="Female Cabin"/>
    <m/>
    <m/>
    <s v="Bertha Rakhunov"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s v="Yes"/>
    <m/>
    <m/>
    <m/>
    <s v="Yes"/>
    <s v="Yes"/>
    <m/>
    <s v="Camp Tawonga, the JCC in Foster City, California"/>
    <s v="Bertha Rakhunov"/>
    <m/>
    <m/>
    <s v="No"/>
    <m/>
    <s v="Yes, send me more info"/>
    <s v="Clinical Research Associate- cancer research"/>
    <s v="I hiked Half Dome with my Jewish overnight camp (Tawonga) at 15 years old"/>
    <s v="Chicken nuggets with buffalo sauce"/>
    <m/>
    <s v="Yes"/>
    <m/>
  </r>
  <r>
    <x v="0"/>
    <n v="48224776"/>
    <d v="2024-04-30T22:51:00"/>
    <s v="Terry"/>
    <s v="Cabin Lodging | Early Bird"/>
    <m/>
    <n v="575"/>
    <n v="602.29999999999995"/>
    <n v="27.3"/>
    <s v="Female"/>
    <d v="1988-03-27T00:00:00"/>
    <n v="36"/>
    <s v="West Dundee"/>
    <s v="IL"/>
    <n v="60118"/>
    <s v="US"/>
    <s v="Confirm"/>
    <s v="M"/>
    <s v="Dairy-free, Other"/>
    <s v="Allergic to fish/seafood/shellfish"/>
    <s v="Female Cabin"/>
    <m/>
    <m/>
    <m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s v="Yes"/>
    <s v="Yes"/>
    <m/>
    <s v="Camp Helen brachman"/>
    <m/>
    <m/>
    <m/>
    <s v="No"/>
    <m/>
    <s v="No"/>
    <s v="Accounts receivable"/>
    <m/>
    <s v="Sour patch gummies"/>
    <m/>
    <s v="Yes"/>
    <m/>
  </r>
  <r>
    <x v="0"/>
    <n v="48127351"/>
    <d v="2024-04-30T23:25:00"/>
    <s v="Thurling"/>
    <s v="Private Lodging - Double | Early Bird"/>
    <m/>
    <n v="775"/>
    <n v="1615.18"/>
    <n v="65.180000000000007"/>
    <s v="Male"/>
    <d v="1992-09-07T00:00:00"/>
    <n v="31"/>
    <s v="Evanston"/>
    <s v="IL"/>
    <n v="60201"/>
    <s v="US"/>
    <s v="Confirm"/>
    <s v="L"/>
    <s v="Vegetarian"/>
    <m/>
    <m/>
    <s v="Yes"/>
    <s v="Rachel Cohen, rachel@cohenc.com, 408-685-1780"/>
    <m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Yes"/>
    <m/>
    <s v="Boy Scout Summer camps"/>
    <m/>
    <m/>
    <m/>
    <s v="No"/>
    <m/>
    <s v="Yes, send me more info"/>
    <s v="Aerospace Engineer"/>
    <s v="I go by my middle name"/>
    <s v="Chips and Salsa"/>
    <s v="N/A"/>
    <s v="Yes"/>
    <m/>
  </r>
  <r>
    <x v="0"/>
    <n v="48012153"/>
    <d v="2024-05-03T22:26:00"/>
    <s v="Trejbal"/>
    <s v="Cabin Lodging | Early Bird"/>
    <m/>
    <n v="575"/>
    <n v="602.29999999999995"/>
    <n v="27.3"/>
    <s v="Non-Binary"/>
    <d v="2000-08-09T00:00:00"/>
    <n v="24"/>
    <s v="Savage"/>
    <s v="MN"/>
    <n v="55378"/>
    <s v="US"/>
    <s v="Confirm"/>
    <s v="M"/>
    <s v="None"/>
    <m/>
    <s v="Co-ed Cabin"/>
    <m/>
    <m/>
    <s v="Whoever is coming from Congregation Etz Chaim in Lombard (Taylor Richier, David Coons, Ben Lambert, Polly Cooper, Joanna Beaty, etc.)"/>
    <s v="Reform"/>
    <m/>
    <s v="Yes"/>
    <m/>
    <m/>
    <m/>
    <m/>
    <m/>
    <m/>
    <m/>
    <m/>
    <m/>
    <m/>
    <m/>
    <m/>
    <m/>
    <m/>
    <m/>
    <m/>
    <m/>
    <m/>
    <m/>
    <s v="Yes"/>
    <m/>
    <m/>
    <m/>
    <m/>
    <m/>
    <m/>
    <m/>
    <m/>
    <m/>
    <m/>
    <m/>
    <m/>
    <m/>
    <m/>
    <m/>
    <m/>
    <m/>
    <m/>
    <m/>
    <m/>
    <m/>
    <s v="Yes"/>
    <m/>
    <m/>
    <s v="YMCA Camp Tecumseh. Not my favorite experience."/>
    <m/>
    <m/>
    <m/>
    <s v="No"/>
    <m/>
    <s v="No"/>
    <s v="Synagogue Communications and Event Marketing at Congregation Etz Chaim of DuPage County"/>
    <s v="I took up weaving recently, and I am way into it"/>
    <s v="Double Stuff Oreos"/>
    <s v="I had a great time last year! Also, my preferred last name is Trejbal, but my legal last name is not the same"/>
    <s v="Yes"/>
    <m/>
  </r>
  <r>
    <x v="0"/>
    <n v="46908763"/>
    <d v="2024-05-03T22:34:00"/>
    <s v="Weil"/>
    <s v="Cabin Lodging | Early Bird"/>
    <s v="PRESALE24"/>
    <n v="575"/>
    <n v="0"/>
    <n v="0"/>
    <s v="Male"/>
    <d v="1983-12-30T00:00:00"/>
    <n v="40"/>
    <s v="LOMBARD"/>
    <s v="IL"/>
    <n v="60148"/>
    <s v="US"/>
    <s v="Confirm"/>
    <s v="XXL"/>
    <s v="None"/>
    <m/>
    <s v="Co-ed Cabin"/>
    <m/>
    <m/>
    <m/>
    <s v="Conservative"/>
    <m/>
    <s v="Yes"/>
    <s v="Yes"/>
    <m/>
    <m/>
    <m/>
    <m/>
    <m/>
    <m/>
    <m/>
    <m/>
    <m/>
    <m/>
    <m/>
    <m/>
    <m/>
    <m/>
    <m/>
    <m/>
    <m/>
    <s v="Yes"/>
    <s v="Yes"/>
    <m/>
    <m/>
    <m/>
    <m/>
    <m/>
    <m/>
    <m/>
    <m/>
    <m/>
    <m/>
    <m/>
    <m/>
    <m/>
    <m/>
    <m/>
    <m/>
    <m/>
    <m/>
    <m/>
    <m/>
    <m/>
    <s v="Yes"/>
    <m/>
    <m/>
    <s v="Camp Butwin"/>
    <m/>
    <m/>
    <m/>
    <s v="No"/>
    <m/>
    <s v="Yes, send me more info"/>
    <s v="Account Manager"/>
    <s v="I had a Star Wars bar mitzvah"/>
    <s v="Chocolate peanut butter ice cream"/>
    <m/>
    <s v="Yes"/>
    <m/>
  </r>
  <r>
    <x v="0"/>
    <n v="47948610"/>
    <d v="2024-06-14T22:11:00"/>
    <s v="Zusman"/>
    <s v="Cabin Lodging | Early Bird"/>
    <m/>
    <n v="575"/>
    <n v="602.29999999999995"/>
    <n v="27.3"/>
    <s v="Female"/>
    <d v="1993-01-05T00:00:00"/>
    <n v="31"/>
    <s v="Deerfield"/>
    <s v="IL"/>
    <n v="60015"/>
    <s v="US"/>
    <s v="Confirm"/>
    <s v="XL"/>
    <s v="Vegetarian, Other"/>
    <s v="Pescatarian (fish, eggs, dairy and anything vegetarian just no meat)"/>
    <s v="Female Cabin"/>
    <m/>
    <m/>
    <s v="Rachel Szteinberg, Stacy Kaplan, Shoshi Shapiro, and Aimee Patterson (if she ends up coming)"/>
    <s v="Reform"/>
    <m/>
    <s v="Yes"/>
    <s v="Yes"/>
    <m/>
    <m/>
    <m/>
    <m/>
    <m/>
    <m/>
    <m/>
    <m/>
    <m/>
    <m/>
    <m/>
    <m/>
    <m/>
    <m/>
    <s v="Yes"/>
    <m/>
    <m/>
    <m/>
    <s v="Yes"/>
    <m/>
    <m/>
    <m/>
    <m/>
    <m/>
    <m/>
    <m/>
    <m/>
    <m/>
    <m/>
    <m/>
    <m/>
    <m/>
    <m/>
    <m/>
    <m/>
    <m/>
    <m/>
    <m/>
    <m/>
    <m/>
    <s v="Yes"/>
    <s v="Yes"/>
    <m/>
    <s v="I went to Apachi day camp, Circus day camp, sports day camp. For overnight I actually went to Chi for 2 years and ended up going to a different camp called Wicosuta in New Hampshire for 5 years."/>
    <m/>
    <m/>
    <m/>
    <s v="No"/>
    <m/>
    <s v="Maybe"/>
    <s v="I’m a Dance Teacher and coach for a competitive dance team"/>
    <s v="I collect crystals"/>
    <s v="Crunchy Curls from Trader Joe’s or a cheese stick"/>
    <s v="I love my cat haha"/>
    <s v="Yes"/>
    <m/>
  </r>
  <r>
    <x v="0"/>
    <n v="49856902"/>
    <d v="2024-06-25T23:08:00"/>
    <s v="Rost"/>
    <s v="Private Lodging - Double | FLASH SALE"/>
    <m/>
    <n v="799"/>
    <n v="832.43"/>
    <n v="33.43"/>
    <s v="Male"/>
    <d v="1993-12-29T00:00:00"/>
    <n v="30"/>
    <s v="Chicago"/>
    <s v="IL"/>
    <n v="60657"/>
    <s v="US"/>
    <s v="Confirm"/>
    <s v="M"/>
    <s v="Vegetarian, Kosher, Gluten Free"/>
    <m/>
    <m/>
    <m/>
    <m/>
    <m/>
    <s v="Orthodox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s v="Yes"/>
    <m/>
    <m/>
    <m/>
    <m/>
    <s v="Yes"/>
    <m/>
    <s v="Nesher"/>
    <s v="Todd Shaw"/>
    <m/>
    <m/>
    <s v="Yes"/>
    <s v="Partial medial meniscus tear in my left knee. Must be cautious when performing jumping or high impact activities."/>
    <s v="Yes, send me more info"/>
    <s v="Life and Wellness Coach"/>
    <s v="Mentor/Coach to kids and young adults from ages 3-up"/>
    <s v="Veggie straws"/>
    <s v="Kosher, shomer Shabbat, and daven daily. Also regularly practice yoga, breathwork, and meditation."/>
    <s v="Yes"/>
    <m/>
  </r>
  <r>
    <x v="0"/>
    <n v="49856919"/>
    <d v="2024-06-25T23:09:00"/>
    <s v="Foster"/>
    <s v="Private Lodging - Double | FLASH SALE"/>
    <m/>
    <n v="799"/>
    <n v="832.43"/>
    <n v="33.43"/>
    <s v="Male"/>
    <d v="1984-10-28T00:00:00"/>
    <n v="39"/>
    <s v="East Windsor"/>
    <s v="NJ"/>
    <n v="8512"/>
    <s v="US"/>
    <s v="Confirm"/>
    <s v="L"/>
    <s v="None"/>
    <m/>
    <m/>
    <m/>
    <m/>
    <m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Yes"/>
    <s v="Yes"/>
    <m/>
    <s v="4H camp, Teen travel, Boy Scouts"/>
    <m/>
    <m/>
    <m/>
    <s v="No"/>
    <m/>
    <s v="Yes, send me more info"/>
    <s v="Data Analyst"/>
    <s v="I love Polar Bears!"/>
    <s v="Quest protien chips"/>
    <s v="I like to meditate, I'm into nature, technology, and helping others."/>
    <s v="Yes"/>
    <m/>
  </r>
  <r>
    <x v="0"/>
    <n v="49883145"/>
    <d v="2024-06-26T21:57:00"/>
    <s v="Orlov"/>
    <s v="Private Lodging - Single | FLASH SALE"/>
    <m/>
    <n v="899"/>
    <n v="938.6"/>
    <n v="39.6"/>
    <s v="Female"/>
    <d v="1990-01-13T00:00:00"/>
    <n v="34"/>
    <s v="Chicago"/>
    <s v="IL"/>
    <n v="60657"/>
    <s v="US"/>
    <s v="Confirm"/>
    <s v="M"/>
    <s v="None"/>
    <m/>
    <m/>
    <m/>
    <m/>
    <m/>
    <s v="Reform"/>
    <m/>
    <s v="Yes"/>
    <m/>
    <m/>
    <m/>
    <m/>
    <m/>
    <m/>
    <m/>
    <m/>
    <m/>
    <m/>
    <m/>
    <m/>
    <m/>
    <m/>
    <m/>
    <m/>
    <m/>
    <m/>
    <m/>
    <s v="Yes"/>
    <m/>
    <m/>
    <m/>
    <m/>
    <m/>
    <m/>
    <m/>
    <s v="Yes"/>
    <s v="Yes"/>
    <m/>
    <s v="Banner Day Camp; Kutz Camp"/>
    <m/>
    <m/>
    <m/>
    <s v="No"/>
    <m/>
    <s v="Yes, send me more info"/>
    <s v="Attorney"/>
    <s v="Princess Diana visited the hospital I was born at when I was born."/>
    <s v="Candy"/>
    <m/>
    <s v="Yes"/>
    <m/>
    <m/>
    <m/>
    <m/>
    <m/>
    <m/>
    <m/>
    <m/>
    <m/>
    <m/>
    <m/>
    <m/>
    <m/>
    <m/>
    <m/>
  </r>
  <r>
    <x v="0"/>
    <n v="50119484"/>
    <d v="2024-07-04T10:50:00"/>
    <s v="Mendkoff"/>
    <s v="Cabin Lodging | Standard"/>
    <m/>
    <n v="650"/>
    <n v="680.15"/>
    <n v="30.15"/>
    <s v="Male"/>
    <d v="2000-04-18T00:00:00"/>
    <n v="24"/>
    <s v="Chicago"/>
    <s v="IL"/>
    <n v="60614"/>
    <s v="US"/>
    <s v="Confirm"/>
    <s v="XL"/>
    <s v="None"/>
    <m/>
    <s v="Male Cabin"/>
    <m/>
    <m/>
    <s v="Seth Franklin"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s v="Yes"/>
    <m/>
    <m/>
    <m/>
    <m/>
    <s v="No"/>
    <m/>
    <s v="Yes, send me more info"/>
    <s v="Consulting"/>
    <s v="I performed at the grand ole opry in Nashville in high school"/>
    <s v="Cookies"/>
    <m/>
    <s v="Yes"/>
    <m/>
    <m/>
    <m/>
    <m/>
    <m/>
    <m/>
    <m/>
    <m/>
    <m/>
    <m/>
    <m/>
    <m/>
    <m/>
    <m/>
    <m/>
  </r>
  <r>
    <x v="0"/>
    <n v="50120200"/>
    <d v="2024-07-04T11:14:00"/>
    <s v="Franklin"/>
    <s v="Cabin Lodging | Standard"/>
    <m/>
    <n v="650"/>
    <n v="680.15"/>
    <n v="30.15"/>
    <s v="Male"/>
    <d v="1994-03-13T00:00:00"/>
    <n v="30"/>
    <s v="Chicago"/>
    <s v="IL"/>
    <n v="60657"/>
    <s v="US"/>
    <s v="Confirm"/>
    <s v="M"/>
    <s v="None"/>
    <m/>
    <s v="Male Cabin"/>
    <m/>
    <m/>
    <s v="Jordan Mendkoff"/>
    <s v="Reform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s v="Yes"/>
    <m/>
    <s v="OSRUI"/>
    <s v="Jordan Mendkoff"/>
    <m/>
    <m/>
    <s v="No"/>
    <m/>
    <s v="No"/>
    <s v="Manufacturing supply chain"/>
    <m/>
    <m/>
    <m/>
    <s v="Yes"/>
    <m/>
    <m/>
    <m/>
    <m/>
    <m/>
    <m/>
    <m/>
    <m/>
    <m/>
    <m/>
    <m/>
    <m/>
    <m/>
    <m/>
    <m/>
  </r>
  <r>
    <x v="0"/>
    <n v="50173104"/>
    <d v="2024-07-06T10:40:00"/>
    <s v="Davidov"/>
    <s v="Private Lodging - Single | Standard"/>
    <m/>
    <n v="950"/>
    <n v="988.71"/>
    <n v="38.71"/>
    <s v="Male"/>
    <d v="1996-01-12T00:00:00"/>
    <n v="28"/>
    <s v="Atlanta"/>
    <s v="GA"/>
    <n v="30329"/>
    <s v="US"/>
    <s v="Confirm"/>
    <s v="L"/>
    <s v="None"/>
    <m/>
    <m/>
    <m/>
    <m/>
    <m/>
    <s v="Conservative"/>
    <m/>
    <m/>
    <m/>
    <s v="Yes"/>
    <m/>
    <m/>
    <m/>
    <m/>
    <m/>
    <m/>
    <m/>
    <m/>
    <m/>
    <m/>
    <m/>
    <m/>
    <m/>
    <m/>
    <m/>
    <m/>
    <m/>
    <m/>
    <m/>
    <m/>
    <m/>
    <m/>
    <m/>
    <m/>
    <m/>
    <m/>
    <m/>
    <s v="Yes"/>
    <m/>
    <s v="Na"/>
    <m/>
    <m/>
    <s v="No"/>
    <m/>
    <s v="Yes, send me more info"/>
    <s v="Psychiatrist"/>
    <s v="I'm learning how to skateboard!"/>
    <s v="Cereal"/>
    <m/>
    <s v="Yes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E0940-AAEB-8D4F-B50B-A13E65E9F96E}" name="PlaygroundPivot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84">
    <pivotField axis="axisRow" showAll="0">
      <items count="2">
        <item x="0"/>
        <item t="default"/>
      </items>
    </pivotField>
    <pivotField dataField="1" showAll="0"/>
    <pivotField numFmtId="22" showAll="0"/>
    <pivotField showAll="0"/>
    <pivotField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Registration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2B07F2-B6E8-564C-8158-07837D557B0A}" name="tblRevenueByCamp" displayName="tblRevenueByCamp" ref="A2:D3" totalsRowShown="0">
  <autoFilter ref="A2:D3" xr:uid="{622B07F2-B6E8-564C-8158-07837D557B0A}"/>
  <tableColumns count="4">
    <tableColumn id="1" xr3:uid="{BC40C45E-11DE-D54C-83E7-881173326B5B}" name="Camp"/>
    <tableColumn id="2" xr3:uid="{9A9EF37E-887B-7646-B260-289173E226EA}" name="Revenue Sum" dataDxfId="2"/>
    <tableColumn id="3" xr3:uid="{2DEC34AB-87E6-2A47-A7BE-95EA7A3080DA}" name="Total Paid Sum" dataDxfId="1"/>
    <tableColumn id="4" xr3:uid="{78413337-01EE-2942-9EE5-FA878C09B30B}" name="Processing &amp; Fees Sum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6C06A3-CB97-9A4E-BD65-0857373ECDA7}" name="tblCampByAge" displayName="tblCampByAge" ref="A8:S9" totalsRowShown="0">
  <autoFilter ref="A8:S9" xr:uid="{156C06A3-CB97-9A4E-BD65-0857373ECDA7}"/>
  <tableColumns count="19">
    <tableColumn id="1" xr3:uid="{6DC61DD5-1333-DB4C-A07E-B6132F71DEDB}" name="Camp"/>
    <tableColumn id="2" xr3:uid="{E7A30B22-6B83-F24F-BF49-D10002724CAC}" name="33"/>
    <tableColumn id="3" xr3:uid="{9C0650B4-430E-7742-B562-CBF7BF4A7385}" name="25"/>
    <tableColumn id="4" xr3:uid="{8829489D-9D5D-7445-B079-154099E999EE}" name="28"/>
    <tableColumn id="5" xr3:uid="{1D08D260-37F4-FC42-9B35-18D3EF27B195}" name="30"/>
    <tableColumn id="6" xr3:uid="{A7EF613B-8555-F346-A867-B81AFD1DED8E}" name="26"/>
    <tableColumn id="7" xr3:uid="{A3CB59EE-2C3D-F344-ADA9-D1F0E8666982}" name="38"/>
    <tableColumn id="8" xr3:uid="{88846438-4137-F940-BB1F-8A5419F2BD47}" name="31"/>
    <tableColumn id="9" xr3:uid="{23B2AE30-A9A2-7245-A4CE-9EDD9B0FB13B}" name="27"/>
    <tableColumn id="10" xr3:uid="{3AF811A7-D9D7-E14F-AC17-82F7EDDAFB61}" name="37"/>
    <tableColumn id="11" xr3:uid="{BE78B931-DABA-724F-B55C-0BD052594576}" name="29"/>
    <tableColumn id="12" xr3:uid="{0C738F40-7240-1A4C-8CF6-8D5588D0C873}" name="40"/>
    <tableColumn id="13" xr3:uid="{4731F624-BBCE-4344-A323-62A270DADB5A}" name="34"/>
    <tableColumn id="14" xr3:uid="{CED1F794-C64B-2141-84DE-4DAD4CF5AE9D}" name="32"/>
    <tableColumn id="15" xr3:uid="{A58A2EE2-3F3E-6747-B300-ACF43D54A8C3}" name="39"/>
    <tableColumn id="16" xr3:uid="{4D1557E4-AAF5-0747-9505-1921365F5501}" name="36"/>
    <tableColumn id="17" xr3:uid="{099A6DBC-4430-3040-BE1D-0C660BD51D5D}" name="35"/>
    <tableColumn id="18" xr3:uid="{BCBBE601-7A40-9F4A-9ADB-86B6B17CD545}" name="43"/>
    <tableColumn id="19" xr3:uid="{D357EAD1-B9BA-054E-B71C-8B8CB72179FE}" name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0E7883-C002-564E-A13F-D15E5FC7AB81}" name="tblBackgroundByCamp" displayName="tblBackgroundByCamp" ref="A14:F15" totalsRowShown="0">
  <autoFilter ref="A14:F15" xr:uid="{530E7883-C002-564E-A13F-D15E5FC7AB81}"/>
  <tableColumns count="6">
    <tableColumn id="1" xr3:uid="{E4B55E87-86F3-8F40-8020-67BDF04911ED}" name="Camp"/>
    <tableColumn id="2" xr3:uid="{574D3B34-5EEC-DF40-84F7-C81B028D5B41}" name="Just Jewish"/>
    <tableColumn id="3" xr3:uid="{F68C472B-7ABB-2E4B-A126-32D8DD838A71}" name="Culturally Jewish"/>
    <tableColumn id="4" xr3:uid="{5E660E28-E9F3-8C43-804A-9FFE35F1A8A7}" name="Reform"/>
    <tableColumn id="5" xr3:uid="{5E290249-D6BD-C845-87A3-D14344DFEF3A}" name="Conservative"/>
    <tableColumn id="6" xr3:uid="{940BCB08-EBAD-094E-A5C0-941F9847B19A}" name="Orthodox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42A813-B39C-7C4E-8DB4-637C87FD4B94}" name="tblPrevCamps" displayName="tblPrevCamps" ref="A20:Z21" totalsRowShown="0">
  <autoFilter ref="A20:Z21" xr:uid="{7342A813-B39C-7C4E-8DB4-637C87FD4B94}"/>
  <tableColumns count="26">
    <tableColumn id="1" xr3:uid="{ED1C8A6B-C358-E94A-AF57-0A3DF207B272}" name="Camp"/>
    <tableColumn id="2" xr3:uid="{E368D9A4-38E3-E748-BDFB-24E57CBF736B}" name="Berkshires 2017"/>
    <tableColumn id="3" xr3:uid="{4163FB9D-09C3-7C4E-A7E5-AC8FD873C500}" name="Berkshires 2018"/>
    <tableColumn id="4" xr3:uid="{7FF8402D-0D28-C048-B051-966F78245664}" name="Berkshires 2019"/>
    <tableColumn id="5" xr3:uid="{67EC2D9C-A51F-A14B-AEBA-D78A397D6087}" name="Berkshires 2021"/>
    <tableColumn id="6" xr3:uid="{4AEBC6AF-013E-2145-9B26-E11266831DE2}" name="Berkshires 2022 Session 1"/>
    <tableColumn id="7" xr3:uid="{485E1C1C-823A-6D43-BECC-6FAC775D2CB9}" name="Berkshires 2022 Session 2"/>
    <tableColumn id="8" xr3:uid="{3BC12031-6029-C248-9343-35EE2611437D}" name="Berkshires 2023 Session 1"/>
    <tableColumn id="9" xr3:uid="{50542F09-154C-8B4F-8883-0C5DCA0F9D98}" name="Berkshires 2023 Session 2"/>
    <tableColumn id="10" xr3:uid="{7B7A06D2-A749-9B48-A260-9735282DB1E6}" name="SoCal 2017"/>
    <tableColumn id="11" xr3:uid="{64F18269-D4F0-2444-982A-6EB4576E94A9}" name="SoCal 2018"/>
    <tableColumn id="12" xr3:uid="{2D3E94B4-E5B8-E141-91CA-3D815A19CF94}" name="SoCal 2019"/>
    <tableColumn id="13" xr3:uid="{49B989B6-D358-6142-B300-81845B42FBEA}" name="SoCal 2021"/>
    <tableColumn id="14" xr3:uid="{B66A41A7-EC60-9A48-8AC4-5145D3D9176B}" name="SoCal 2022"/>
    <tableColumn id="15" xr3:uid="{01DD11B0-49AF-8C4B-ABD0-6391260A7079}" name="SoCal 2023"/>
    <tableColumn id="16" xr3:uid="{2AA08C0F-08BB-3441-9165-64036DA1F985}" name="Midwest 2018"/>
    <tableColumn id="17" xr3:uid="{1501827D-403A-874D-9CFF-6E7A414DFC27}" name="Midwest 2019"/>
    <tableColumn id="18" xr3:uid="{02179B87-EB49-3241-986A-AD697F3F2171}" name="Midwest 2022"/>
    <tableColumn id="19" xr3:uid="{F5723CCD-1621-F344-A7A2-B1D9C92FA800}" name="Midwest 2023"/>
    <tableColumn id="20" xr3:uid="{BF3CAEDC-8C57-2E49-9CF4-2D59F1FBDA2E}" name="Chicago Day Camp 2021"/>
    <tableColumn id="21" xr3:uid="{D05EB165-BD96-6042-8BE0-496C1C3104F3}" name="Chicago Day Camp 2023"/>
    <tableColumn id="22" xr3:uid="{2A648A69-ABC8-E64C-B37E-ADE238735842}" name="Seattle Day Camp 2021"/>
    <tableColumn id="23" xr3:uid="{1078293C-0B90-5F44-BC09-C0FA16034339}" name="Atlanta Day Camp 2021"/>
    <tableColumn id="24" xr3:uid="{A4ACD2BD-4422-064E-B138-7B65DBF08116}" name="South 2022"/>
    <tableColumn id="25" xr3:uid="{D4472A2E-5C7B-7A41-8F0B-B5E58319FC07}" name="LA Day Camp 2022"/>
    <tableColumn id="26" xr3:uid="{362E90C0-EECE-D149-A6AF-375ED08F7DF9}" name="LA Day Camp 202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80E55F-E8B1-E94D-AD3C-67AAF24ECBCB}" name="tblDataDictionary" displayName="tblDataDictionary" ref="A1:D57" totalsRowShown="0" headerRowDxfId="9" dataDxfId="8" tableBorderDxfId="7">
  <autoFilter ref="A1:D57" xr:uid="{6080E55F-E8B1-E94D-AD3C-67AAF24ECBCB}"/>
  <tableColumns count="4">
    <tableColumn id="1" xr3:uid="{9E1C42CD-CA24-9646-9A41-90906D571B59}" name="Field Name" dataDxfId="6"/>
    <tableColumn id="2" xr3:uid="{A41969F4-10AE-AA4C-B982-14498301E059}" name="Description" dataDxfId="5"/>
    <tableColumn id="3" xr3:uid="{58A8975E-3A7E-3D42-95F6-D94F640940B0}" name="Data Type" dataDxfId="4"/>
    <tableColumn id="4" xr3:uid="{6D2B129E-DF76-B14D-B9B8-9783C5E60D7C}" name="Possible Values / Notes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16C9-BD8F-CC4F-8E1D-3151E2EDB255}">
  <sheetPr codeName="Sheet9"/>
  <dimension ref="A1:F6"/>
  <sheetViews>
    <sheetView tabSelected="1" workbookViewId="0">
      <selection sqref="A1:E6"/>
    </sheetView>
  </sheetViews>
  <sheetFormatPr baseColWidth="10" defaultRowHeight="13" x14ac:dyDescent="0.15"/>
  <sheetData>
    <row r="1" spans="1:6" x14ac:dyDescent="0.15">
      <c r="A1" s="28"/>
      <c r="B1" s="28"/>
      <c r="C1" s="28"/>
      <c r="D1" s="28"/>
      <c r="E1" s="28"/>
    </row>
    <row r="2" spans="1:6" ht="23" x14ac:dyDescent="0.15">
      <c r="A2" s="28"/>
      <c r="B2" s="28"/>
      <c r="C2" s="28"/>
      <c r="D2" s="28"/>
      <c r="E2" s="28"/>
      <c r="F2" s="11" t="s">
        <v>601</v>
      </c>
    </row>
    <row r="3" spans="1:6" ht="16" x14ac:dyDescent="0.15">
      <c r="A3" s="28"/>
      <c r="B3" s="28"/>
      <c r="C3" s="28"/>
      <c r="D3" s="28"/>
      <c r="E3" s="28"/>
      <c r="F3" s="12" t="s">
        <v>602</v>
      </c>
    </row>
    <row r="4" spans="1:6" x14ac:dyDescent="0.15">
      <c r="A4" s="28"/>
      <c r="B4" s="28"/>
      <c r="C4" s="28"/>
      <c r="D4" s="28"/>
      <c r="E4" s="28"/>
    </row>
    <row r="5" spans="1:6" x14ac:dyDescent="0.15">
      <c r="A5" s="28"/>
      <c r="B5" s="28"/>
      <c r="C5" s="28"/>
      <c r="D5" s="28"/>
      <c r="E5" s="28"/>
    </row>
    <row r="6" spans="1:6" x14ac:dyDescent="0.15">
      <c r="A6" s="28"/>
      <c r="B6" s="28"/>
      <c r="C6" s="28"/>
      <c r="D6" s="28"/>
      <c r="E6" s="28"/>
    </row>
  </sheetData>
  <mergeCells count="1">
    <mergeCell ref="A1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6485-C51C-124F-AA4D-ADF7EB92E306}">
  <sheetPr codeName="Sheet8"/>
  <dimension ref="A1:Z21"/>
  <sheetViews>
    <sheetView workbookViewId="0">
      <selection sqref="A1:D1"/>
    </sheetView>
  </sheetViews>
  <sheetFormatPr baseColWidth="10" defaultRowHeight="13" x14ac:dyDescent="0.15"/>
  <cols>
    <col min="1" max="1" width="8.33203125" bestFit="1" customWidth="1"/>
    <col min="2" max="2" width="17.1640625" bestFit="1" customWidth="1"/>
    <col min="3" max="3" width="17.83203125" bestFit="1" customWidth="1"/>
    <col min="4" max="4" width="23.5" bestFit="1" customWidth="1"/>
    <col min="5" max="5" width="17.1640625" bestFit="1" customWidth="1"/>
    <col min="6" max="9" width="26.1640625" bestFit="1" customWidth="1"/>
    <col min="10" max="15" width="13" bestFit="1" customWidth="1"/>
    <col min="16" max="19" width="14.83203125" bestFit="1" customWidth="1"/>
    <col min="20" max="21" width="24" bestFit="1" customWidth="1"/>
    <col min="22" max="23" width="22.83203125" bestFit="1" customWidth="1"/>
    <col min="24" max="24" width="12.83203125" bestFit="1" customWidth="1"/>
    <col min="25" max="26" width="19.33203125" bestFit="1" customWidth="1"/>
  </cols>
  <sheetData>
    <row r="1" spans="1:19" ht="18" x14ac:dyDescent="0.2">
      <c r="A1" s="13" t="s">
        <v>551</v>
      </c>
      <c r="B1" s="14"/>
      <c r="C1" s="14"/>
      <c r="D1" s="14"/>
    </row>
    <row r="2" spans="1:19" x14ac:dyDescent="0.15">
      <c r="A2" t="s">
        <v>0</v>
      </c>
      <c r="B2" t="s">
        <v>552</v>
      </c>
      <c r="C2" t="s">
        <v>553</v>
      </c>
      <c r="D2" t="s">
        <v>554</v>
      </c>
    </row>
    <row r="3" spans="1:19" x14ac:dyDescent="0.15">
      <c r="A3" t="s">
        <v>127</v>
      </c>
      <c r="B3" s="10">
        <v>33292</v>
      </c>
      <c r="C3" s="10">
        <v>33218.300000000003</v>
      </c>
      <c r="D3" s="10">
        <v>1401.37</v>
      </c>
    </row>
    <row r="7" spans="1:19" ht="18" x14ac:dyDescent="0.2">
      <c r="A7" s="13" t="s">
        <v>555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x14ac:dyDescent="0.15">
      <c r="A8" t="s">
        <v>0</v>
      </c>
      <c r="B8" t="s">
        <v>556</v>
      </c>
      <c r="C8" t="s">
        <v>563</v>
      </c>
      <c r="D8" t="s">
        <v>561</v>
      </c>
      <c r="E8" t="s">
        <v>560</v>
      </c>
      <c r="F8" t="s">
        <v>568</v>
      </c>
      <c r="G8" t="s">
        <v>569</v>
      </c>
      <c r="H8" t="s">
        <v>567</v>
      </c>
      <c r="I8" t="s">
        <v>564</v>
      </c>
      <c r="J8" t="s">
        <v>557</v>
      </c>
      <c r="K8" t="s">
        <v>566</v>
      </c>
      <c r="L8" t="s">
        <v>571</v>
      </c>
      <c r="M8" t="s">
        <v>565</v>
      </c>
      <c r="N8" t="s">
        <v>570</v>
      </c>
      <c r="O8" t="s">
        <v>558</v>
      </c>
      <c r="P8" t="s">
        <v>559</v>
      </c>
      <c r="Q8" t="s">
        <v>562</v>
      </c>
      <c r="R8" t="s">
        <v>572</v>
      </c>
      <c r="S8" t="s">
        <v>573</v>
      </c>
    </row>
    <row r="9" spans="1:19" x14ac:dyDescent="0.15">
      <c r="A9" t="s">
        <v>127</v>
      </c>
      <c r="B9">
        <v>1</v>
      </c>
      <c r="C9">
        <v>3</v>
      </c>
      <c r="D9">
        <v>5</v>
      </c>
      <c r="E9">
        <v>6</v>
      </c>
      <c r="F9">
        <v>1</v>
      </c>
      <c r="G9">
        <v>2</v>
      </c>
      <c r="H9">
        <v>8</v>
      </c>
      <c r="I9">
        <v>4</v>
      </c>
      <c r="J9">
        <v>2</v>
      </c>
      <c r="K9">
        <v>4</v>
      </c>
      <c r="L9">
        <v>2</v>
      </c>
      <c r="M9">
        <v>2</v>
      </c>
      <c r="N9">
        <v>1</v>
      </c>
      <c r="O9">
        <v>2</v>
      </c>
      <c r="P9">
        <v>3</v>
      </c>
      <c r="Q9">
        <v>1</v>
      </c>
      <c r="R9">
        <v>2</v>
      </c>
      <c r="S9">
        <v>2</v>
      </c>
    </row>
    <row r="13" spans="1:19" ht="18" x14ac:dyDescent="0.2">
      <c r="A13" s="13" t="s">
        <v>574</v>
      </c>
      <c r="B13" s="14"/>
      <c r="C13" s="14"/>
      <c r="D13" s="14"/>
      <c r="E13" s="14"/>
      <c r="F13" s="14"/>
    </row>
    <row r="14" spans="1:19" x14ac:dyDescent="0.15">
      <c r="A14" t="s">
        <v>0</v>
      </c>
      <c r="B14" t="s">
        <v>94</v>
      </c>
      <c r="C14" t="s">
        <v>102</v>
      </c>
      <c r="D14" t="s">
        <v>99</v>
      </c>
      <c r="E14" t="s">
        <v>100</v>
      </c>
      <c r="F14" t="s">
        <v>440</v>
      </c>
    </row>
    <row r="15" spans="1:19" x14ac:dyDescent="0.15">
      <c r="A15" t="s">
        <v>127</v>
      </c>
      <c r="B15">
        <v>4</v>
      </c>
      <c r="C15">
        <v>9</v>
      </c>
      <c r="D15">
        <v>28</v>
      </c>
      <c r="E15">
        <v>9</v>
      </c>
      <c r="F15">
        <v>1</v>
      </c>
    </row>
    <row r="19" spans="1:26" ht="18" x14ac:dyDescent="0.2">
      <c r="A19" s="13" t="s">
        <v>575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15">
      <c r="A20" t="s">
        <v>0</v>
      </c>
      <c r="B20" t="s">
        <v>576</v>
      </c>
      <c r="C20" t="s">
        <v>577</v>
      </c>
      <c r="D20" t="s">
        <v>578</v>
      </c>
      <c r="E20" t="s">
        <v>579</v>
      </c>
      <c r="F20" t="s">
        <v>580</v>
      </c>
      <c r="G20" t="s">
        <v>581</v>
      </c>
      <c r="H20" t="s">
        <v>582</v>
      </c>
      <c r="I20" t="s">
        <v>583</v>
      </c>
      <c r="J20" t="s">
        <v>584</v>
      </c>
      <c r="K20" t="s">
        <v>585</v>
      </c>
      <c r="L20" t="s">
        <v>586</v>
      </c>
      <c r="M20" t="s">
        <v>587</v>
      </c>
      <c r="N20" t="s">
        <v>588</v>
      </c>
      <c r="O20" t="s">
        <v>589</v>
      </c>
      <c r="P20" t="s">
        <v>590</v>
      </c>
      <c r="Q20" t="s">
        <v>591</v>
      </c>
      <c r="R20" t="s">
        <v>592</v>
      </c>
      <c r="S20" t="s">
        <v>593</v>
      </c>
      <c r="T20" t="s">
        <v>594</v>
      </c>
      <c r="U20" t="s">
        <v>595</v>
      </c>
      <c r="V20" t="s">
        <v>596</v>
      </c>
      <c r="W20" t="s">
        <v>597</v>
      </c>
      <c r="X20" t="s">
        <v>598</v>
      </c>
      <c r="Y20" t="s">
        <v>599</v>
      </c>
      <c r="Z20" t="s">
        <v>600</v>
      </c>
    </row>
    <row r="21" spans="1:26" x14ac:dyDescent="0.15">
      <c r="A21" t="s">
        <v>127</v>
      </c>
      <c r="B21">
        <v>0</v>
      </c>
      <c r="C21">
        <v>0</v>
      </c>
      <c r="D21">
        <v>1</v>
      </c>
      <c r="E21">
        <v>1</v>
      </c>
      <c r="F21">
        <v>1</v>
      </c>
      <c r="G21">
        <v>2</v>
      </c>
      <c r="H21">
        <v>0</v>
      </c>
      <c r="I21">
        <v>0</v>
      </c>
      <c r="J21">
        <v>0</v>
      </c>
      <c r="K21">
        <v>1</v>
      </c>
      <c r="L21">
        <v>1</v>
      </c>
      <c r="M21">
        <v>2</v>
      </c>
      <c r="N21">
        <v>3</v>
      </c>
      <c r="O21">
        <v>3</v>
      </c>
      <c r="P21">
        <v>4</v>
      </c>
      <c r="Q21">
        <v>15</v>
      </c>
      <c r="R21">
        <v>22</v>
      </c>
      <c r="S21">
        <v>9</v>
      </c>
      <c r="T21">
        <v>14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</row>
  </sheetData>
  <mergeCells count="4">
    <mergeCell ref="A1:D1"/>
    <mergeCell ref="A7:S7"/>
    <mergeCell ref="A13:F13"/>
    <mergeCell ref="A19:Z19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2922-00C4-2A49-8031-1CE152B7F4F0}">
  <sheetPr codeName="Sheet7"/>
  <dimension ref="A1:B5"/>
  <sheetViews>
    <sheetView workbookViewId="0"/>
  </sheetViews>
  <sheetFormatPr baseColWidth="10" defaultRowHeight="13" x14ac:dyDescent="0.15"/>
  <cols>
    <col min="1" max="1" width="53.6640625" bestFit="1" customWidth="1"/>
    <col min="2" max="2" width="19.33203125" bestFit="1" customWidth="1"/>
  </cols>
  <sheetData>
    <row r="1" spans="1:2" ht="18" x14ac:dyDescent="0.2">
      <c r="A1" s="8" t="s">
        <v>547</v>
      </c>
    </row>
    <row r="3" spans="1:2" x14ac:dyDescent="0.15">
      <c r="A3" s="9" t="s">
        <v>548</v>
      </c>
      <c r="B3" t="s">
        <v>550</v>
      </c>
    </row>
    <row r="4" spans="1:2" x14ac:dyDescent="0.15">
      <c r="A4" s="6" t="s">
        <v>127</v>
      </c>
      <c r="B4" s="27">
        <v>51</v>
      </c>
    </row>
    <row r="5" spans="1:2" x14ac:dyDescent="0.15">
      <c r="A5" s="6" t="s">
        <v>549</v>
      </c>
      <c r="B5" s="27">
        <v>51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DBEC-89A5-E946-96E1-B4EEF1D820BB}">
  <sheetPr codeName="Sheet2"/>
  <dimension ref="A1:D57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3" x14ac:dyDescent="0.15"/>
  <cols>
    <col min="1" max="1" width="45.83203125" style="1" customWidth="1"/>
    <col min="2" max="2" width="44.1640625" style="1" bestFit="1" customWidth="1"/>
    <col min="3" max="3" width="13.6640625" bestFit="1" customWidth="1"/>
    <col min="4" max="4" width="34" style="1" bestFit="1" customWidth="1"/>
  </cols>
  <sheetData>
    <row r="1" spans="1:4" ht="24" customHeight="1" x14ac:dyDescent="0.15">
      <c r="A1" s="2" t="s">
        <v>470</v>
      </c>
      <c r="B1" s="2" t="s">
        <v>471</v>
      </c>
      <c r="C1" s="3" t="s">
        <v>472</v>
      </c>
      <c r="D1" s="2" t="s">
        <v>473</v>
      </c>
    </row>
    <row r="2" spans="1:4" ht="16" x14ac:dyDescent="0.15">
      <c r="A2" s="4" t="s">
        <v>0</v>
      </c>
      <c r="B2" s="4" t="s">
        <v>474</v>
      </c>
      <c r="C2" s="5" t="s">
        <v>475</v>
      </c>
      <c r="D2" s="4" t="s">
        <v>476</v>
      </c>
    </row>
    <row r="3" spans="1:4" ht="16" x14ac:dyDescent="0.15">
      <c r="A3" s="4" t="s">
        <v>1</v>
      </c>
      <c r="B3" s="4" t="s">
        <v>477</v>
      </c>
      <c r="C3" s="5" t="s">
        <v>478</v>
      </c>
      <c r="D3" s="4" t="s">
        <v>479</v>
      </c>
    </row>
    <row r="4" spans="1:4" ht="16" x14ac:dyDescent="0.15">
      <c r="A4" s="4" t="s">
        <v>2</v>
      </c>
      <c r="B4" s="4" t="s">
        <v>480</v>
      </c>
      <c r="C4" s="5" t="s">
        <v>469</v>
      </c>
      <c r="D4" s="4" t="s">
        <v>481</v>
      </c>
    </row>
    <row r="5" spans="1:4" ht="16" x14ac:dyDescent="0.15">
      <c r="A5" s="4" t="s">
        <v>3</v>
      </c>
      <c r="B5" s="4" t="s">
        <v>482</v>
      </c>
      <c r="C5" s="5" t="s">
        <v>475</v>
      </c>
      <c r="D5" s="4" t="s">
        <v>108</v>
      </c>
    </row>
    <row r="6" spans="1:4" ht="16" x14ac:dyDescent="0.15">
      <c r="A6" s="4" t="s">
        <v>4</v>
      </c>
      <c r="B6" s="4" t="s">
        <v>483</v>
      </c>
      <c r="C6" s="5" t="s">
        <v>484</v>
      </c>
      <c r="D6" s="4" t="s">
        <v>108</v>
      </c>
    </row>
    <row r="7" spans="1:4" ht="16" x14ac:dyDescent="0.15">
      <c r="A7" s="4" t="s">
        <v>5</v>
      </c>
      <c r="B7" s="4" t="s">
        <v>485</v>
      </c>
      <c r="C7" s="5" t="s">
        <v>475</v>
      </c>
      <c r="D7" s="4" t="s">
        <v>486</v>
      </c>
    </row>
    <row r="8" spans="1:4" ht="16" x14ac:dyDescent="0.15">
      <c r="A8" s="4" t="s">
        <v>6</v>
      </c>
      <c r="B8" s="4" t="s">
        <v>487</v>
      </c>
      <c r="C8" s="5" t="s">
        <v>484</v>
      </c>
      <c r="D8" s="4" t="s">
        <v>108</v>
      </c>
    </row>
    <row r="9" spans="1:4" ht="16" x14ac:dyDescent="0.15">
      <c r="A9" s="4" t="s">
        <v>7</v>
      </c>
      <c r="B9" s="4" t="s">
        <v>488</v>
      </c>
      <c r="C9" s="5" t="s">
        <v>489</v>
      </c>
      <c r="D9" s="4" t="s">
        <v>108</v>
      </c>
    </row>
    <row r="10" spans="1:4" ht="16" x14ac:dyDescent="0.15">
      <c r="A10" s="4" t="s">
        <v>8</v>
      </c>
      <c r="B10" s="4" t="s">
        <v>490</v>
      </c>
      <c r="C10" s="5" t="s">
        <v>489</v>
      </c>
      <c r="D10" s="4" t="s">
        <v>108</v>
      </c>
    </row>
    <row r="11" spans="1:4" ht="16" x14ac:dyDescent="0.15">
      <c r="A11" s="4" t="s">
        <v>9</v>
      </c>
      <c r="B11" s="4" t="s">
        <v>491</v>
      </c>
      <c r="C11" s="5" t="s">
        <v>475</v>
      </c>
      <c r="D11" s="4" t="s">
        <v>492</v>
      </c>
    </row>
    <row r="12" spans="1:4" ht="16" x14ac:dyDescent="0.15">
      <c r="A12" s="4" t="s">
        <v>10</v>
      </c>
      <c r="B12" s="4" t="s">
        <v>493</v>
      </c>
      <c r="C12" s="5" t="s">
        <v>469</v>
      </c>
      <c r="D12" s="4" t="s">
        <v>481</v>
      </c>
    </row>
    <row r="13" spans="1:4" ht="16" x14ac:dyDescent="0.15">
      <c r="A13" s="4" t="s">
        <v>11</v>
      </c>
      <c r="B13" s="4" t="s">
        <v>494</v>
      </c>
      <c r="C13" s="5" t="s">
        <v>484</v>
      </c>
      <c r="D13" s="4" t="s">
        <v>108</v>
      </c>
    </row>
    <row r="14" spans="1:4" ht="16" x14ac:dyDescent="0.15">
      <c r="A14" s="4" t="s">
        <v>12</v>
      </c>
      <c r="B14" s="4" t="s">
        <v>495</v>
      </c>
      <c r="C14" s="5" t="s">
        <v>475</v>
      </c>
      <c r="D14" s="4" t="s">
        <v>108</v>
      </c>
    </row>
    <row r="15" spans="1:4" ht="16" x14ac:dyDescent="0.15">
      <c r="A15" s="4" t="s">
        <v>13</v>
      </c>
      <c r="B15" s="4" t="s">
        <v>496</v>
      </c>
      <c r="C15" s="5" t="s">
        <v>475</v>
      </c>
      <c r="D15" s="4" t="s">
        <v>108</v>
      </c>
    </row>
    <row r="16" spans="1:4" ht="16" x14ac:dyDescent="0.15">
      <c r="A16" s="4" t="s">
        <v>14</v>
      </c>
      <c r="B16" s="4" t="s">
        <v>497</v>
      </c>
      <c r="C16" s="5" t="s">
        <v>475</v>
      </c>
      <c r="D16" s="4" t="s">
        <v>108</v>
      </c>
    </row>
    <row r="17" spans="1:4" ht="16" x14ac:dyDescent="0.15">
      <c r="A17" s="4" t="s">
        <v>15</v>
      </c>
      <c r="B17" s="4" t="s">
        <v>498</v>
      </c>
      <c r="C17" s="5" t="s">
        <v>475</v>
      </c>
      <c r="D17" s="4" t="s">
        <v>108</v>
      </c>
    </row>
    <row r="18" spans="1:4" ht="48" x14ac:dyDescent="0.15">
      <c r="A18" s="4" t="s">
        <v>16</v>
      </c>
      <c r="B18" s="4" t="s">
        <v>499</v>
      </c>
      <c r="C18" s="5" t="s">
        <v>500</v>
      </c>
      <c r="D18" s="4" t="s">
        <v>501</v>
      </c>
    </row>
    <row r="19" spans="1:4" ht="16" x14ac:dyDescent="0.15">
      <c r="A19" s="4" t="s">
        <v>17</v>
      </c>
      <c r="B19" s="4" t="s">
        <v>502</v>
      </c>
      <c r="C19" s="5" t="s">
        <v>475</v>
      </c>
      <c r="D19" s="4" t="s">
        <v>503</v>
      </c>
    </row>
    <row r="20" spans="1:4" ht="16" x14ac:dyDescent="0.15">
      <c r="A20" s="4" t="s">
        <v>18</v>
      </c>
      <c r="B20" s="4" t="s">
        <v>504</v>
      </c>
      <c r="C20" s="5" t="s">
        <v>505</v>
      </c>
      <c r="D20" s="4" t="s">
        <v>506</v>
      </c>
    </row>
    <row r="21" spans="1:4" ht="16" x14ac:dyDescent="0.15">
      <c r="A21" s="4" t="s">
        <v>19</v>
      </c>
      <c r="B21" s="4" t="s">
        <v>507</v>
      </c>
      <c r="C21" s="5" t="s">
        <v>475</v>
      </c>
      <c r="D21" s="4" t="s">
        <v>486</v>
      </c>
    </row>
    <row r="22" spans="1:4" ht="16" x14ac:dyDescent="0.15">
      <c r="A22" s="4" t="s">
        <v>20</v>
      </c>
      <c r="B22" s="4" t="s">
        <v>508</v>
      </c>
      <c r="C22" s="5" t="s">
        <v>475</v>
      </c>
      <c r="D22" s="4" t="s">
        <v>486</v>
      </c>
    </row>
    <row r="23" spans="1:4" ht="16" x14ac:dyDescent="0.15">
      <c r="A23" s="4" t="s">
        <v>21</v>
      </c>
      <c r="B23" s="4" t="s">
        <v>509</v>
      </c>
      <c r="C23" s="5" t="s">
        <v>505</v>
      </c>
      <c r="D23" s="4" t="s">
        <v>501</v>
      </c>
    </row>
    <row r="24" spans="1:4" ht="16" x14ac:dyDescent="0.15">
      <c r="A24" s="4" t="s">
        <v>22</v>
      </c>
      <c r="B24" s="4" t="s">
        <v>510</v>
      </c>
      <c r="C24" s="5" t="s">
        <v>475</v>
      </c>
      <c r="D24" s="4" t="s">
        <v>486</v>
      </c>
    </row>
    <row r="25" spans="1:4" ht="32" x14ac:dyDescent="0.15">
      <c r="A25" s="4" t="s">
        <v>23</v>
      </c>
      <c r="B25" s="4" t="s">
        <v>511</v>
      </c>
      <c r="C25" s="5" t="s">
        <v>475</v>
      </c>
      <c r="D25" s="4" t="s">
        <v>486</v>
      </c>
    </row>
    <row r="26" spans="1:4" ht="16" x14ac:dyDescent="0.15">
      <c r="A26" s="4" t="s">
        <v>24</v>
      </c>
      <c r="B26" s="4" t="s">
        <v>512</v>
      </c>
      <c r="C26" s="5" t="s">
        <v>475</v>
      </c>
      <c r="D26" s="4" t="s">
        <v>486</v>
      </c>
    </row>
    <row r="27" spans="1:4" ht="16" x14ac:dyDescent="0.15">
      <c r="A27" s="4" t="s">
        <v>25</v>
      </c>
      <c r="B27" s="4" t="s">
        <v>513</v>
      </c>
      <c r="C27" s="5" t="s">
        <v>475</v>
      </c>
      <c r="D27" s="4" t="s">
        <v>514</v>
      </c>
    </row>
    <row r="28" spans="1:4" ht="32" x14ac:dyDescent="0.15">
      <c r="A28" s="4" t="s">
        <v>26</v>
      </c>
      <c r="B28" s="4" t="s">
        <v>515</v>
      </c>
      <c r="C28" s="5" t="s">
        <v>516</v>
      </c>
      <c r="D28" s="4" t="s">
        <v>501</v>
      </c>
    </row>
    <row r="29" spans="1:4" ht="32" x14ac:dyDescent="0.15">
      <c r="A29" s="4" t="s">
        <v>27</v>
      </c>
      <c r="B29" s="4" t="s">
        <v>517</v>
      </c>
      <c r="C29" s="5" t="s">
        <v>516</v>
      </c>
      <c r="D29" s="4" t="s">
        <v>501</v>
      </c>
    </row>
    <row r="30" spans="1:4" ht="32" x14ac:dyDescent="0.15">
      <c r="A30" s="4" t="s">
        <v>28</v>
      </c>
      <c r="B30" s="4" t="s">
        <v>518</v>
      </c>
      <c r="C30" s="5" t="s">
        <v>516</v>
      </c>
      <c r="D30" s="4" t="s">
        <v>501</v>
      </c>
    </row>
    <row r="31" spans="1:4" ht="16" x14ac:dyDescent="0.15">
      <c r="A31" s="4" t="s">
        <v>29</v>
      </c>
      <c r="B31" s="4" t="s">
        <v>519</v>
      </c>
      <c r="C31" s="5" t="s">
        <v>516</v>
      </c>
      <c r="D31" s="4" t="s">
        <v>501</v>
      </c>
    </row>
    <row r="32" spans="1:4" ht="16" x14ac:dyDescent="0.15">
      <c r="A32" s="4" t="s">
        <v>30</v>
      </c>
      <c r="B32" s="4" t="s">
        <v>520</v>
      </c>
      <c r="C32" s="5" t="s">
        <v>516</v>
      </c>
      <c r="D32" s="4" t="s">
        <v>501</v>
      </c>
    </row>
    <row r="33" spans="1:4" ht="16" x14ac:dyDescent="0.15">
      <c r="A33" s="4" t="s">
        <v>31</v>
      </c>
      <c r="B33" s="4" t="s">
        <v>521</v>
      </c>
      <c r="C33" s="5" t="s">
        <v>516</v>
      </c>
      <c r="D33" s="4" t="s">
        <v>501</v>
      </c>
    </row>
    <row r="34" spans="1:4" ht="16" x14ac:dyDescent="0.15">
      <c r="A34" s="4" t="s">
        <v>32</v>
      </c>
      <c r="B34" s="4" t="s">
        <v>522</v>
      </c>
      <c r="C34" s="5" t="s">
        <v>516</v>
      </c>
      <c r="D34" s="4" t="s">
        <v>501</v>
      </c>
    </row>
    <row r="35" spans="1:4" ht="16" x14ac:dyDescent="0.15">
      <c r="A35" s="4" t="s">
        <v>33</v>
      </c>
      <c r="B35" s="4" t="s">
        <v>523</v>
      </c>
      <c r="C35" s="5" t="s">
        <v>516</v>
      </c>
      <c r="D35" s="4" t="s">
        <v>501</v>
      </c>
    </row>
    <row r="36" spans="1:4" ht="16" x14ac:dyDescent="0.15">
      <c r="A36" s="4" t="s">
        <v>34</v>
      </c>
      <c r="B36" s="4" t="s">
        <v>524</v>
      </c>
      <c r="C36" s="5" t="s">
        <v>516</v>
      </c>
      <c r="D36" s="4" t="s">
        <v>501</v>
      </c>
    </row>
    <row r="37" spans="1:4" ht="16" x14ac:dyDescent="0.15">
      <c r="A37" s="4" t="s">
        <v>35</v>
      </c>
      <c r="B37" s="4" t="s">
        <v>525</v>
      </c>
      <c r="C37" s="5" t="s">
        <v>516</v>
      </c>
      <c r="D37" s="4" t="s">
        <v>501</v>
      </c>
    </row>
    <row r="38" spans="1:4" ht="16" x14ac:dyDescent="0.15">
      <c r="A38" s="4" t="s">
        <v>36</v>
      </c>
      <c r="B38" s="4" t="s">
        <v>526</v>
      </c>
      <c r="C38" s="5" t="s">
        <v>516</v>
      </c>
      <c r="D38" s="4" t="s">
        <v>501</v>
      </c>
    </row>
    <row r="39" spans="1:4" ht="16" x14ac:dyDescent="0.15">
      <c r="A39" s="4" t="s">
        <v>37</v>
      </c>
      <c r="B39" s="4" t="s">
        <v>527</v>
      </c>
      <c r="C39" s="5" t="s">
        <v>516</v>
      </c>
      <c r="D39" s="4" t="s">
        <v>501</v>
      </c>
    </row>
    <row r="40" spans="1:4" ht="16" x14ac:dyDescent="0.15">
      <c r="A40" s="4" t="s">
        <v>38</v>
      </c>
      <c r="B40" s="4" t="s">
        <v>528</v>
      </c>
      <c r="C40" s="5" t="s">
        <v>516</v>
      </c>
      <c r="D40" s="4" t="s">
        <v>501</v>
      </c>
    </row>
    <row r="41" spans="1:4" ht="16" x14ac:dyDescent="0.15">
      <c r="A41" s="4" t="s">
        <v>39</v>
      </c>
      <c r="B41" s="4" t="s">
        <v>529</v>
      </c>
      <c r="C41" s="5" t="s">
        <v>516</v>
      </c>
      <c r="D41" s="4" t="s">
        <v>501</v>
      </c>
    </row>
    <row r="42" spans="1:4" ht="16" x14ac:dyDescent="0.15">
      <c r="A42" s="4" t="s">
        <v>40</v>
      </c>
      <c r="B42" s="4" t="s">
        <v>530</v>
      </c>
      <c r="C42" s="5" t="s">
        <v>516</v>
      </c>
      <c r="D42" s="4" t="s">
        <v>501</v>
      </c>
    </row>
    <row r="43" spans="1:4" ht="16" x14ac:dyDescent="0.15">
      <c r="A43" s="4" t="s">
        <v>41</v>
      </c>
      <c r="B43" s="4" t="s">
        <v>531</v>
      </c>
      <c r="C43" s="5" t="s">
        <v>516</v>
      </c>
      <c r="D43" s="4" t="s">
        <v>501</v>
      </c>
    </row>
    <row r="44" spans="1:4" ht="16" x14ac:dyDescent="0.15">
      <c r="A44" s="4" t="s">
        <v>42</v>
      </c>
      <c r="B44" s="4" t="s">
        <v>532</v>
      </c>
      <c r="C44" s="5" t="s">
        <v>516</v>
      </c>
      <c r="D44" s="4" t="s">
        <v>501</v>
      </c>
    </row>
    <row r="45" spans="1:4" ht="16" x14ac:dyDescent="0.15">
      <c r="A45" s="4" t="s">
        <v>43</v>
      </c>
      <c r="B45" s="4" t="s">
        <v>533</v>
      </c>
      <c r="C45" s="5" t="s">
        <v>516</v>
      </c>
      <c r="D45" s="4" t="s">
        <v>501</v>
      </c>
    </row>
    <row r="46" spans="1:4" ht="16" x14ac:dyDescent="0.15">
      <c r="A46" s="4" t="s">
        <v>44</v>
      </c>
      <c r="B46" s="4" t="s">
        <v>534</v>
      </c>
      <c r="C46" s="5" t="s">
        <v>516</v>
      </c>
      <c r="D46" s="4" t="s">
        <v>501</v>
      </c>
    </row>
    <row r="47" spans="1:4" ht="16" x14ac:dyDescent="0.15">
      <c r="A47" s="4" t="s">
        <v>45</v>
      </c>
      <c r="B47" s="4" t="s">
        <v>535</v>
      </c>
      <c r="C47" s="5" t="s">
        <v>516</v>
      </c>
      <c r="D47" s="4" t="s">
        <v>501</v>
      </c>
    </row>
    <row r="48" spans="1:4" ht="16" x14ac:dyDescent="0.15">
      <c r="A48" s="4" t="s">
        <v>46</v>
      </c>
      <c r="B48" s="4" t="s">
        <v>536</v>
      </c>
      <c r="C48" s="5" t="s">
        <v>516</v>
      </c>
      <c r="D48" s="4" t="s">
        <v>501</v>
      </c>
    </row>
    <row r="49" spans="1:4" ht="16" x14ac:dyDescent="0.15">
      <c r="A49" s="4" t="s">
        <v>47</v>
      </c>
      <c r="B49" s="4" t="s">
        <v>537</v>
      </c>
      <c r="C49" s="5" t="s">
        <v>516</v>
      </c>
      <c r="D49" s="4" t="s">
        <v>501</v>
      </c>
    </row>
    <row r="50" spans="1:4" ht="16" x14ac:dyDescent="0.15">
      <c r="A50" s="4" t="s">
        <v>48</v>
      </c>
      <c r="B50" s="4" t="s">
        <v>538</v>
      </c>
      <c r="C50" s="5" t="s">
        <v>516</v>
      </c>
      <c r="D50" s="4" t="s">
        <v>501</v>
      </c>
    </row>
    <row r="51" spans="1:4" ht="16" x14ac:dyDescent="0.15">
      <c r="A51" s="4" t="s">
        <v>49</v>
      </c>
      <c r="B51" s="4" t="s">
        <v>539</v>
      </c>
      <c r="C51" s="5" t="s">
        <v>516</v>
      </c>
      <c r="D51" s="4" t="s">
        <v>501</v>
      </c>
    </row>
    <row r="52" spans="1:4" ht="16" x14ac:dyDescent="0.15">
      <c r="A52" s="4" t="s">
        <v>50</v>
      </c>
      <c r="B52" s="4" t="s">
        <v>540</v>
      </c>
      <c r="C52" s="5" t="s">
        <v>516</v>
      </c>
      <c r="D52" s="4" t="s">
        <v>501</v>
      </c>
    </row>
    <row r="53" spans="1:4" ht="16" x14ac:dyDescent="0.15">
      <c r="A53" s="4" t="s">
        <v>51</v>
      </c>
      <c r="B53" s="4" t="s">
        <v>541</v>
      </c>
      <c r="C53" s="5" t="s">
        <v>516</v>
      </c>
      <c r="D53" s="4" t="s">
        <v>501</v>
      </c>
    </row>
    <row r="54" spans="1:4" ht="16" x14ac:dyDescent="0.15">
      <c r="A54" s="4" t="s">
        <v>52</v>
      </c>
      <c r="B54" s="4" t="s">
        <v>542</v>
      </c>
      <c r="C54" s="5" t="s">
        <v>516</v>
      </c>
      <c r="D54" s="4" t="s">
        <v>501</v>
      </c>
    </row>
    <row r="55" spans="1:4" ht="16" x14ac:dyDescent="0.15">
      <c r="A55" s="4" t="s">
        <v>53</v>
      </c>
      <c r="B55" s="4" t="s">
        <v>543</v>
      </c>
      <c r="C55" s="5" t="s">
        <v>516</v>
      </c>
      <c r="D55" s="4" t="s">
        <v>501</v>
      </c>
    </row>
    <row r="56" spans="1:4" ht="16" x14ac:dyDescent="0.15">
      <c r="A56" s="4" t="s">
        <v>54</v>
      </c>
      <c r="B56" s="4" t="s">
        <v>544</v>
      </c>
      <c r="C56" s="5" t="s">
        <v>516</v>
      </c>
      <c r="D56" s="4" t="s">
        <v>501</v>
      </c>
    </row>
    <row r="57" spans="1:4" ht="16" x14ac:dyDescent="0.15">
      <c r="A57" s="4" t="s">
        <v>55</v>
      </c>
      <c r="B57" s="4" t="s">
        <v>545</v>
      </c>
      <c r="C57" s="5" t="s">
        <v>475</v>
      </c>
      <c r="D57" s="4" t="s">
        <v>546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6243-4209-A34D-B523-46829837E45E}">
  <sheetPr codeName="Sheet6"/>
  <dimension ref="A1:CF52"/>
  <sheetViews>
    <sheetView workbookViewId="0">
      <pane ySplit="1" topLeftCell="A2" activePane="bottomLeft" state="frozen"/>
      <selection pane="bottomLeft" activeCell="A2" sqref="A2:XFD2"/>
    </sheetView>
  </sheetViews>
  <sheetFormatPr baseColWidth="10" defaultRowHeight="13" x14ac:dyDescent="0.15"/>
  <cols>
    <col min="1" max="1" width="7.6640625" style="6" bestFit="1" customWidth="1"/>
    <col min="2" max="2" width="12.5" style="7" bestFit="1" customWidth="1"/>
    <col min="3" max="3" width="14.5" style="6" bestFit="1" customWidth="1"/>
    <col min="4" max="4" width="14.83203125" style="6" bestFit="1" customWidth="1"/>
    <col min="5" max="5" width="30" style="6" bestFit="1" customWidth="1"/>
    <col min="6" max="6" width="17" style="6" bestFit="1" customWidth="1"/>
    <col min="7" max="7" width="8" style="7" bestFit="1" customWidth="1"/>
    <col min="8" max="8" width="17.83203125" style="7" bestFit="1" customWidth="1"/>
    <col min="9" max="9" width="24.1640625" style="7" bestFit="1" customWidth="1"/>
    <col min="10" max="10" width="9.6640625" style="6" bestFit="1" customWidth="1"/>
    <col min="11" max="11" width="10.83203125" style="6" bestFit="1" customWidth="1"/>
    <col min="12" max="12" width="4.1640625" style="7" bestFit="1" customWidth="1"/>
    <col min="13" max="13" width="13.6640625" style="6" bestFit="1" customWidth="1"/>
    <col min="14" max="14" width="12.6640625" style="6" bestFit="1" customWidth="1"/>
    <col min="15" max="15" width="21" style="7" bestFit="1" customWidth="1"/>
    <col min="16" max="16" width="14.83203125" style="6" bestFit="1" customWidth="1"/>
    <col min="17" max="17" width="122.1640625" style="6" bestFit="1" customWidth="1"/>
    <col min="18" max="18" width="9.5" style="6" bestFit="1" customWidth="1"/>
    <col min="19" max="19" width="35.5" style="6" bestFit="1" customWidth="1"/>
    <col min="20" max="20" width="52.5" style="6" bestFit="1" customWidth="1"/>
    <col min="21" max="21" width="26.33203125" style="6" bestFit="1" customWidth="1"/>
    <col min="22" max="22" width="30.33203125" style="6" bestFit="1" customWidth="1"/>
    <col min="23" max="23" width="118.1640625" style="6" bestFit="1" customWidth="1"/>
    <col min="24" max="24" width="106.6640625" style="6" bestFit="1" customWidth="1"/>
    <col min="25" max="25" width="26.33203125" style="6" bestFit="1" customWidth="1"/>
    <col min="26" max="26" width="21.6640625" style="6" bestFit="1" customWidth="1"/>
    <col min="27" max="27" width="63.33203125" style="6" bestFit="1" customWidth="1"/>
    <col min="28" max="28" width="63.6640625" style="6" bestFit="1" customWidth="1"/>
    <col min="29" max="29" width="68.5" style="6" bestFit="1" customWidth="1"/>
    <col min="30" max="30" width="43.6640625" style="6" bestFit="1" customWidth="1"/>
    <col min="31" max="34" width="26.1640625" style="6" bestFit="1" customWidth="1"/>
    <col min="35" max="38" width="33.83203125" style="6" bestFit="1" customWidth="1"/>
    <col min="39" max="44" width="22.33203125" style="6" bestFit="1" customWidth="1"/>
    <col min="45" max="48" width="25" style="6" bestFit="1" customWidth="1"/>
    <col min="49" max="50" width="32.33203125" style="6" bestFit="1" customWidth="1"/>
    <col min="51" max="51" width="31.83203125" style="6" bestFit="1" customWidth="1"/>
    <col min="52" max="52" width="32" style="6" bestFit="1" customWidth="1"/>
    <col min="53" max="53" width="22.6640625" style="6" bestFit="1" customWidth="1"/>
    <col min="54" max="55" width="28.1640625" style="6" bestFit="1" customWidth="1"/>
    <col min="56" max="56" width="36" style="6" bestFit="1" customWidth="1"/>
    <col min="57" max="57" width="43.83203125" style="6" bestFit="1" customWidth="1"/>
    <col min="58" max="58" width="56" style="6" bestFit="1" customWidth="1"/>
    <col min="59" max="59" width="51" style="6" bestFit="1" customWidth="1"/>
    <col min="60" max="60" width="36.1640625" style="6" bestFit="1" customWidth="1"/>
    <col min="61" max="61" width="41.33203125" style="6" bestFit="1" customWidth="1"/>
    <col min="62" max="62" width="32.83203125" style="6" bestFit="1" customWidth="1"/>
    <col min="63" max="63" width="34.5" style="6" bestFit="1" customWidth="1"/>
    <col min="64" max="64" width="34.6640625" style="6" bestFit="1" customWidth="1"/>
    <col min="65" max="65" width="40.5" style="6" bestFit="1" customWidth="1"/>
    <col min="66" max="66" width="50.6640625" style="6" bestFit="1" customWidth="1"/>
    <col min="67" max="67" width="31" style="6" bestFit="1" customWidth="1"/>
    <col min="68" max="68" width="49.5" style="6" bestFit="1" customWidth="1"/>
    <col min="69" max="69" width="31.5" style="6" bestFit="1" customWidth="1"/>
    <col min="70" max="70" width="56.1640625" style="6" bestFit="1" customWidth="1"/>
    <col min="71" max="71" width="61.1640625" style="6" bestFit="1" customWidth="1"/>
    <col min="72" max="72" width="150.83203125" style="6" bestFit="1" customWidth="1"/>
    <col min="73" max="73" width="15.83203125" style="6" bestFit="1" customWidth="1"/>
    <col min="74" max="74" width="18.33203125" style="6" bestFit="1" customWidth="1"/>
    <col min="75" max="75" width="41.5" style="6" bestFit="1" customWidth="1"/>
    <col min="76" max="76" width="26" style="6" bestFit="1" customWidth="1"/>
    <col min="77" max="77" width="251.6640625" style="6" bestFit="1" customWidth="1"/>
    <col min="78" max="78" width="18.33203125" style="6" bestFit="1" customWidth="1"/>
    <col min="79" max="79" width="164" style="6" bestFit="1" customWidth="1"/>
    <col min="80" max="80" width="255.83203125" style="6" bestFit="1" customWidth="1"/>
    <col min="81" max="81" width="68.83203125" style="6" bestFit="1" customWidth="1"/>
    <col min="82" max="82" width="255.83203125" style="6" bestFit="1" customWidth="1"/>
    <col min="83" max="83" width="28.83203125" style="6" bestFit="1" customWidth="1"/>
    <col min="84" max="84" width="47" style="6" bestFit="1" customWidth="1"/>
  </cols>
  <sheetData>
    <row r="1" spans="1:84" ht="15" x14ac:dyDescent="0.15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16" t="s">
        <v>11</v>
      </c>
      <c r="M1" s="15" t="s">
        <v>12</v>
      </c>
      <c r="N1" s="15" t="s">
        <v>13</v>
      </c>
      <c r="O1" s="16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5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15" t="s">
        <v>63</v>
      </c>
      <c r="BM1" s="15" t="s">
        <v>64</v>
      </c>
      <c r="BN1" s="15" t="s">
        <v>65</v>
      </c>
      <c r="BO1" s="15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5" t="s">
        <v>75</v>
      </c>
      <c r="BY1" s="15" t="s">
        <v>76</v>
      </c>
      <c r="BZ1" s="15" t="s">
        <v>19</v>
      </c>
      <c r="CA1" s="15" t="s">
        <v>77</v>
      </c>
      <c r="CB1" s="15" t="s">
        <v>78</v>
      </c>
      <c r="CC1" s="15" t="s">
        <v>79</v>
      </c>
      <c r="CD1" s="15" t="s">
        <v>80</v>
      </c>
      <c r="CE1" s="15" t="s">
        <v>81</v>
      </c>
      <c r="CF1" s="15" t="s">
        <v>82</v>
      </c>
    </row>
    <row r="2" spans="1:84" ht="15" x14ac:dyDescent="0.2">
      <c r="A2" s="17" t="s">
        <v>127</v>
      </c>
      <c r="B2" s="18">
        <v>46922517</v>
      </c>
      <c r="C2" s="19">
        <v>45376.470833333333</v>
      </c>
      <c r="D2" s="17" t="s">
        <v>128</v>
      </c>
      <c r="E2" s="17" t="s">
        <v>129</v>
      </c>
      <c r="F2" s="17"/>
      <c r="G2" s="20">
        <v>575</v>
      </c>
      <c r="H2" s="20">
        <v>600.29</v>
      </c>
      <c r="I2" s="20">
        <v>25.3</v>
      </c>
      <c r="J2" s="17" t="s">
        <v>96</v>
      </c>
      <c r="K2" s="21">
        <v>33274</v>
      </c>
      <c r="L2" s="18">
        <v>33</v>
      </c>
      <c r="M2" s="17" t="s">
        <v>130</v>
      </c>
      <c r="N2" s="17" t="s">
        <v>114</v>
      </c>
      <c r="O2" s="18">
        <v>60626</v>
      </c>
      <c r="P2" s="17" t="s">
        <v>86</v>
      </c>
      <c r="Q2" s="17" t="s">
        <v>87</v>
      </c>
      <c r="R2" s="17" t="s">
        <v>97</v>
      </c>
      <c r="S2" s="17" t="s">
        <v>131</v>
      </c>
      <c r="T2" s="17" t="s">
        <v>132</v>
      </c>
      <c r="U2" s="17" t="s">
        <v>133</v>
      </c>
      <c r="V2" s="22"/>
      <c r="W2" s="17"/>
      <c r="X2" s="17" t="s">
        <v>134</v>
      </c>
      <c r="Y2" s="17" t="s">
        <v>94</v>
      </c>
      <c r="Z2" s="17"/>
      <c r="AA2" s="17" t="s">
        <v>90</v>
      </c>
      <c r="AB2" s="17" t="s">
        <v>90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 t="s">
        <v>90</v>
      </c>
      <c r="AU2" s="17" t="s">
        <v>90</v>
      </c>
      <c r="AV2" s="17"/>
      <c r="AW2" s="17" t="s">
        <v>90</v>
      </c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 t="s">
        <v>90</v>
      </c>
      <c r="BR2" s="17" t="s">
        <v>90</v>
      </c>
      <c r="BS2" s="17"/>
      <c r="BT2" s="17" t="s">
        <v>120</v>
      </c>
      <c r="BU2" s="17"/>
      <c r="BV2" s="17"/>
      <c r="BW2" s="17"/>
      <c r="BX2" s="17" t="s">
        <v>91</v>
      </c>
      <c r="BY2" s="17"/>
      <c r="BZ2" s="17" t="s">
        <v>135</v>
      </c>
      <c r="CA2" s="17" t="s">
        <v>136</v>
      </c>
      <c r="CB2" s="17" t="s">
        <v>137</v>
      </c>
      <c r="CC2" s="17" t="s">
        <v>138</v>
      </c>
      <c r="CD2" s="17"/>
      <c r="CE2" s="17" t="s">
        <v>90</v>
      </c>
      <c r="CF2" s="17"/>
    </row>
    <row r="3" spans="1:84" ht="15" x14ac:dyDescent="0.2">
      <c r="A3" s="17" t="s">
        <v>127</v>
      </c>
      <c r="B3" s="18">
        <v>47671713</v>
      </c>
      <c r="C3" s="19">
        <v>45376.474305555559</v>
      </c>
      <c r="D3" s="17" t="s">
        <v>139</v>
      </c>
      <c r="E3" s="17" t="s">
        <v>129</v>
      </c>
      <c r="F3" s="17"/>
      <c r="G3" s="20">
        <v>575</v>
      </c>
      <c r="H3" s="20">
        <v>600.59</v>
      </c>
      <c r="I3" s="20">
        <v>25.59</v>
      </c>
      <c r="J3" s="17" t="s">
        <v>84</v>
      </c>
      <c r="K3" s="21">
        <v>35966</v>
      </c>
      <c r="L3" s="18">
        <v>25</v>
      </c>
      <c r="M3" s="17" t="s">
        <v>140</v>
      </c>
      <c r="N3" s="17" t="s">
        <v>141</v>
      </c>
      <c r="O3" s="18">
        <v>52403</v>
      </c>
      <c r="P3" s="17" t="s">
        <v>86</v>
      </c>
      <c r="Q3" s="17" t="s">
        <v>87</v>
      </c>
      <c r="R3" s="17" t="s">
        <v>97</v>
      </c>
      <c r="S3" s="17" t="s">
        <v>93</v>
      </c>
      <c r="T3" s="17"/>
      <c r="U3" s="17" t="s">
        <v>133</v>
      </c>
      <c r="V3" s="22"/>
      <c r="W3" s="17"/>
      <c r="X3" s="17"/>
      <c r="Y3" s="17" t="s">
        <v>102</v>
      </c>
      <c r="Z3" s="22"/>
      <c r="AA3" s="17"/>
      <c r="AB3" s="17"/>
      <c r="AC3" s="17" t="s">
        <v>90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 t="s">
        <v>90</v>
      </c>
      <c r="BJ3" s="17"/>
      <c r="BK3" s="17"/>
      <c r="BL3" s="17"/>
      <c r="BM3" s="17"/>
      <c r="BN3" s="17"/>
      <c r="BO3" s="17"/>
      <c r="BP3" s="17"/>
      <c r="BQ3" s="17"/>
      <c r="BR3" s="17" t="s">
        <v>90</v>
      </c>
      <c r="BS3" s="17"/>
      <c r="BT3" s="17" t="s">
        <v>142</v>
      </c>
      <c r="BU3" s="17" t="s">
        <v>118</v>
      </c>
      <c r="BV3" s="17"/>
      <c r="BW3" s="17"/>
      <c r="BX3" s="17" t="s">
        <v>91</v>
      </c>
      <c r="BY3" s="17"/>
      <c r="BZ3" s="17" t="s">
        <v>91</v>
      </c>
      <c r="CA3" s="23"/>
      <c r="CB3" s="24" t="s">
        <v>143</v>
      </c>
      <c r="CC3" s="17" t="s">
        <v>144</v>
      </c>
      <c r="CD3" s="24" t="s">
        <v>145</v>
      </c>
      <c r="CE3" s="17" t="s">
        <v>90</v>
      </c>
      <c r="CF3" s="17"/>
    </row>
    <row r="4" spans="1:84" ht="15" x14ac:dyDescent="0.2">
      <c r="A4" s="17" t="s">
        <v>127</v>
      </c>
      <c r="B4" s="18">
        <v>46974287</v>
      </c>
      <c r="C4" s="19">
        <v>45376.532638888886</v>
      </c>
      <c r="D4" s="17" t="s">
        <v>146</v>
      </c>
      <c r="E4" s="17" t="s">
        <v>129</v>
      </c>
      <c r="F4" s="17"/>
      <c r="G4" s="20">
        <v>575</v>
      </c>
      <c r="H4" s="20">
        <v>602</v>
      </c>
      <c r="I4" s="20">
        <v>27.01</v>
      </c>
      <c r="J4" s="17" t="s">
        <v>96</v>
      </c>
      <c r="K4" s="21">
        <v>35220</v>
      </c>
      <c r="L4" s="18">
        <v>28</v>
      </c>
      <c r="M4" s="17" t="s">
        <v>130</v>
      </c>
      <c r="N4" s="17" t="s">
        <v>114</v>
      </c>
      <c r="O4" s="18">
        <v>60640</v>
      </c>
      <c r="P4" s="17" t="s">
        <v>86</v>
      </c>
      <c r="Q4" s="17" t="s">
        <v>87</v>
      </c>
      <c r="R4" s="17" t="s">
        <v>97</v>
      </c>
      <c r="S4" s="17" t="s">
        <v>116</v>
      </c>
      <c r="T4" s="17"/>
      <c r="U4" s="17" t="s">
        <v>147</v>
      </c>
      <c r="V4" s="22"/>
      <c r="W4" s="17"/>
      <c r="X4" s="17" t="s">
        <v>148</v>
      </c>
      <c r="Y4" s="17" t="s">
        <v>99</v>
      </c>
      <c r="Z4" s="17"/>
      <c r="AA4" s="17"/>
      <c r="AB4" s="17"/>
      <c r="AC4" s="17" t="s">
        <v>90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 t="s">
        <v>90</v>
      </c>
      <c r="BQ4" s="17"/>
      <c r="BR4" s="17"/>
      <c r="BS4" s="17" t="s">
        <v>90</v>
      </c>
      <c r="BT4" s="17"/>
      <c r="BU4" s="17"/>
      <c r="BV4" s="17"/>
      <c r="BW4" s="17" t="s">
        <v>149</v>
      </c>
      <c r="BX4" s="17" t="s">
        <v>91</v>
      </c>
      <c r="BY4" s="17"/>
      <c r="BZ4" s="17" t="s">
        <v>135</v>
      </c>
      <c r="CA4" s="17" t="s">
        <v>150</v>
      </c>
      <c r="CB4" s="17" t="s">
        <v>151</v>
      </c>
      <c r="CC4" s="17" t="s">
        <v>125</v>
      </c>
      <c r="CD4" s="17" t="s">
        <v>152</v>
      </c>
      <c r="CE4" s="17" t="s">
        <v>90</v>
      </c>
      <c r="CF4" s="17"/>
    </row>
    <row r="5" spans="1:84" ht="15" x14ac:dyDescent="0.2">
      <c r="A5" s="17" t="s">
        <v>127</v>
      </c>
      <c r="B5" s="18">
        <v>48222146</v>
      </c>
      <c r="C5" s="19">
        <v>45376.624305555553</v>
      </c>
      <c r="D5" s="17" t="s">
        <v>153</v>
      </c>
      <c r="E5" s="17" t="s">
        <v>129</v>
      </c>
      <c r="F5" s="17" t="s">
        <v>154</v>
      </c>
      <c r="G5" s="20">
        <v>555</v>
      </c>
      <c r="H5" s="20">
        <v>579.89</v>
      </c>
      <c r="I5" s="20">
        <v>24.89</v>
      </c>
      <c r="J5" s="17" t="s">
        <v>96</v>
      </c>
      <c r="K5" s="21">
        <v>34274</v>
      </c>
      <c r="L5" s="18">
        <v>30</v>
      </c>
      <c r="M5" s="17" t="s">
        <v>130</v>
      </c>
      <c r="N5" s="17" t="s">
        <v>114</v>
      </c>
      <c r="O5" s="18">
        <v>60640</v>
      </c>
      <c r="P5" s="17" t="s">
        <v>86</v>
      </c>
      <c r="Q5" s="17" t="s">
        <v>87</v>
      </c>
      <c r="R5" s="17" t="s">
        <v>92</v>
      </c>
      <c r="S5" s="17" t="s">
        <v>93</v>
      </c>
      <c r="T5" s="17"/>
      <c r="U5" s="17" t="s">
        <v>147</v>
      </c>
      <c r="V5" s="22"/>
      <c r="W5" s="17"/>
      <c r="X5" s="17" t="s">
        <v>155</v>
      </c>
      <c r="Y5" s="17" t="s">
        <v>100</v>
      </c>
      <c r="Z5" s="22"/>
      <c r="AA5" s="17" t="s">
        <v>90</v>
      </c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 t="s">
        <v>90</v>
      </c>
      <c r="AU5" s="17" t="s">
        <v>90</v>
      </c>
      <c r="AV5" s="17"/>
      <c r="AW5" s="17" t="s">
        <v>90</v>
      </c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 t="s">
        <v>90</v>
      </c>
      <c r="BR5" s="17"/>
      <c r="BS5" s="17"/>
      <c r="BT5" s="17" t="s">
        <v>156</v>
      </c>
      <c r="BU5" s="22"/>
      <c r="BV5" s="17"/>
      <c r="BW5" s="17"/>
      <c r="BX5" s="17" t="s">
        <v>91</v>
      </c>
      <c r="BY5" s="17"/>
      <c r="BZ5" s="17" t="s">
        <v>135</v>
      </c>
      <c r="CA5" s="17" t="s">
        <v>157</v>
      </c>
      <c r="CB5" s="22"/>
      <c r="CC5" s="17" t="s">
        <v>158</v>
      </c>
      <c r="CD5" s="17"/>
      <c r="CE5" s="17" t="s">
        <v>90</v>
      </c>
      <c r="CF5" s="17"/>
    </row>
    <row r="6" spans="1:84" ht="15" x14ac:dyDescent="0.2">
      <c r="A6" s="17" t="s">
        <v>127</v>
      </c>
      <c r="B6" s="18">
        <v>48127351</v>
      </c>
      <c r="C6" s="19">
        <v>45376.897222222222</v>
      </c>
      <c r="D6" s="17" t="s">
        <v>159</v>
      </c>
      <c r="E6" s="17" t="s">
        <v>160</v>
      </c>
      <c r="F6" s="17"/>
      <c r="G6" s="20">
        <v>775</v>
      </c>
      <c r="H6" s="20">
        <v>1615.18</v>
      </c>
      <c r="I6" s="20">
        <v>65.180000000000007</v>
      </c>
      <c r="J6" s="17" t="s">
        <v>96</v>
      </c>
      <c r="K6" s="21">
        <v>35661</v>
      </c>
      <c r="L6" s="18">
        <v>26</v>
      </c>
      <c r="M6" s="17" t="s">
        <v>161</v>
      </c>
      <c r="N6" s="17" t="s">
        <v>162</v>
      </c>
      <c r="O6" s="18">
        <v>53209</v>
      </c>
      <c r="P6" s="17" t="s">
        <v>86</v>
      </c>
      <c r="Q6" s="17" t="s">
        <v>87</v>
      </c>
      <c r="R6" s="17" t="s">
        <v>88</v>
      </c>
      <c r="S6" s="17" t="s">
        <v>93</v>
      </c>
      <c r="T6" s="17"/>
      <c r="U6" s="17"/>
      <c r="V6" s="17" t="s">
        <v>90</v>
      </c>
      <c r="W6" s="17" t="s">
        <v>163</v>
      </c>
      <c r="X6" s="22"/>
      <c r="Y6" s="17" t="s">
        <v>99</v>
      </c>
      <c r="Z6" s="17"/>
      <c r="AA6" s="17"/>
      <c r="AB6" s="17"/>
      <c r="AC6" s="17" t="s">
        <v>90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 t="s">
        <v>90</v>
      </c>
      <c r="BN6" s="17"/>
      <c r="BO6" s="17"/>
      <c r="BP6" s="17"/>
      <c r="BQ6" s="17"/>
      <c r="BR6" s="17" t="s">
        <v>90</v>
      </c>
      <c r="BS6" s="17"/>
      <c r="BT6" s="17" t="s">
        <v>164</v>
      </c>
      <c r="BU6" s="22"/>
      <c r="BV6" s="17"/>
      <c r="BW6" s="17"/>
      <c r="BX6" s="17" t="s">
        <v>91</v>
      </c>
      <c r="BY6" s="17"/>
      <c r="BZ6" s="17" t="s">
        <v>135</v>
      </c>
      <c r="CA6" s="17" t="s">
        <v>165</v>
      </c>
      <c r="CB6" s="17" t="s">
        <v>166</v>
      </c>
      <c r="CC6" s="17" t="s">
        <v>105</v>
      </c>
      <c r="CD6" s="17" t="s">
        <v>118</v>
      </c>
      <c r="CE6" s="17" t="s">
        <v>90</v>
      </c>
      <c r="CF6" s="17"/>
    </row>
    <row r="7" spans="1:84" ht="15" x14ac:dyDescent="0.2">
      <c r="A7" s="17" t="s">
        <v>127</v>
      </c>
      <c r="B7" s="18">
        <v>46907295</v>
      </c>
      <c r="C7" s="19">
        <v>45376.921527777777</v>
      </c>
      <c r="D7" s="17" t="s">
        <v>167</v>
      </c>
      <c r="E7" s="17" t="s">
        <v>129</v>
      </c>
      <c r="F7" s="17"/>
      <c r="G7" s="20">
        <v>575</v>
      </c>
      <c r="H7" s="20">
        <v>600.29</v>
      </c>
      <c r="I7" s="20">
        <v>25.3</v>
      </c>
      <c r="J7" s="17" t="s">
        <v>96</v>
      </c>
      <c r="K7" s="21">
        <v>31623</v>
      </c>
      <c r="L7" s="18">
        <v>38</v>
      </c>
      <c r="M7" s="17" t="s">
        <v>168</v>
      </c>
      <c r="N7" s="17" t="s">
        <v>169</v>
      </c>
      <c r="O7" s="18">
        <v>63146</v>
      </c>
      <c r="P7" s="17" t="s">
        <v>86</v>
      </c>
      <c r="Q7" s="17" t="s">
        <v>87</v>
      </c>
      <c r="R7" s="17" t="s">
        <v>92</v>
      </c>
      <c r="S7" s="17" t="s">
        <v>93</v>
      </c>
      <c r="T7" s="17"/>
      <c r="U7" s="17" t="s">
        <v>133</v>
      </c>
      <c r="V7" s="22"/>
      <c r="W7" s="17"/>
      <c r="X7" s="17" t="s">
        <v>170</v>
      </c>
      <c r="Y7" s="17" t="s">
        <v>94</v>
      </c>
      <c r="Z7" s="17"/>
      <c r="AA7" s="17" t="s">
        <v>90</v>
      </c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 t="s">
        <v>90</v>
      </c>
      <c r="AV7" s="17"/>
      <c r="AW7" s="17" t="s">
        <v>90</v>
      </c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 t="s">
        <v>90</v>
      </c>
      <c r="BT7" s="17"/>
      <c r="BU7" s="17"/>
      <c r="BV7" s="17"/>
      <c r="BW7" s="17"/>
      <c r="BX7" s="17" t="s">
        <v>90</v>
      </c>
      <c r="BY7" s="17" t="s">
        <v>171</v>
      </c>
      <c r="BZ7" s="17" t="s">
        <v>91</v>
      </c>
      <c r="CA7" s="17" t="s">
        <v>172</v>
      </c>
      <c r="CB7" s="17" t="s">
        <v>173</v>
      </c>
      <c r="CC7" s="17" t="s">
        <v>174</v>
      </c>
      <c r="CD7" s="17" t="s">
        <v>175</v>
      </c>
      <c r="CE7" s="17" t="s">
        <v>90</v>
      </c>
      <c r="CF7" s="17"/>
    </row>
    <row r="8" spans="1:84" ht="15" x14ac:dyDescent="0.2">
      <c r="A8" s="17" t="s">
        <v>127</v>
      </c>
      <c r="B8" s="18">
        <v>48226581</v>
      </c>
      <c r="C8" s="19">
        <v>45376.956250000003</v>
      </c>
      <c r="D8" s="17" t="s">
        <v>176</v>
      </c>
      <c r="E8" s="17" t="s">
        <v>177</v>
      </c>
      <c r="F8" s="17"/>
      <c r="G8" s="20">
        <v>875</v>
      </c>
      <c r="H8" s="20">
        <v>911.09</v>
      </c>
      <c r="I8" s="20">
        <v>36.090000000000003</v>
      </c>
      <c r="J8" s="17" t="s">
        <v>178</v>
      </c>
      <c r="K8" s="21">
        <v>33847</v>
      </c>
      <c r="L8" s="18">
        <v>31</v>
      </c>
      <c r="M8" s="17" t="s">
        <v>130</v>
      </c>
      <c r="N8" s="17" t="s">
        <v>114</v>
      </c>
      <c r="O8" s="18">
        <v>60610</v>
      </c>
      <c r="P8" s="17" t="s">
        <v>86</v>
      </c>
      <c r="Q8" s="17" t="s">
        <v>87</v>
      </c>
      <c r="R8" s="17" t="s">
        <v>88</v>
      </c>
      <c r="S8" s="17" t="s">
        <v>93</v>
      </c>
      <c r="T8" s="17"/>
      <c r="U8" s="17"/>
      <c r="V8" s="17" t="s">
        <v>90</v>
      </c>
      <c r="W8" s="17" t="s">
        <v>179</v>
      </c>
      <c r="X8" s="22"/>
      <c r="Y8" s="17" t="s">
        <v>102</v>
      </c>
      <c r="Z8" s="22"/>
      <c r="AA8" s="17"/>
      <c r="AB8" s="17" t="s">
        <v>90</v>
      </c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 t="s">
        <v>90</v>
      </c>
      <c r="BK8" s="17"/>
      <c r="BL8" s="17"/>
      <c r="BM8" s="17"/>
      <c r="BN8" s="17"/>
      <c r="BO8" s="17"/>
      <c r="BP8" s="17"/>
      <c r="BQ8" s="17" t="s">
        <v>90</v>
      </c>
      <c r="BR8" s="17" t="s">
        <v>90</v>
      </c>
      <c r="BS8" s="17"/>
      <c r="BT8" s="17" t="s">
        <v>180</v>
      </c>
      <c r="BU8" s="22"/>
      <c r="BV8" s="22"/>
      <c r="BW8" s="17"/>
      <c r="BX8" s="17" t="s">
        <v>91</v>
      </c>
      <c r="BY8" s="17"/>
      <c r="BZ8" s="17" t="s">
        <v>181</v>
      </c>
      <c r="CA8" s="17"/>
      <c r="CB8" s="17" t="s">
        <v>182</v>
      </c>
      <c r="CC8" s="17" t="s">
        <v>183</v>
      </c>
      <c r="CD8" s="17"/>
      <c r="CE8" s="17" t="s">
        <v>90</v>
      </c>
      <c r="CF8" s="17"/>
    </row>
    <row r="9" spans="1:84" ht="15" x14ac:dyDescent="0.2">
      <c r="A9" s="17" t="s">
        <v>127</v>
      </c>
      <c r="B9" s="18">
        <v>46965757</v>
      </c>
      <c r="C9" s="19">
        <v>45376.980555555558</v>
      </c>
      <c r="D9" s="17" t="s">
        <v>184</v>
      </c>
      <c r="E9" s="17" t="s">
        <v>185</v>
      </c>
      <c r="F9" s="17"/>
      <c r="G9" s="20">
        <v>875</v>
      </c>
      <c r="H9" s="20">
        <v>910.79</v>
      </c>
      <c r="I9" s="20">
        <v>35.799999999999997</v>
      </c>
      <c r="J9" s="17" t="s">
        <v>84</v>
      </c>
      <c r="K9" s="21">
        <v>35390</v>
      </c>
      <c r="L9" s="18">
        <v>27</v>
      </c>
      <c r="M9" s="17" t="s">
        <v>130</v>
      </c>
      <c r="N9" s="17" t="s">
        <v>114</v>
      </c>
      <c r="O9" s="18">
        <v>60622</v>
      </c>
      <c r="P9" s="17" t="s">
        <v>86</v>
      </c>
      <c r="Q9" s="17" t="s">
        <v>87</v>
      </c>
      <c r="R9" s="17" t="s">
        <v>92</v>
      </c>
      <c r="S9" s="17" t="s">
        <v>89</v>
      </c>
      <c r="T9" s="17"/>
      <c r="U9" s="17"/>
      <c r="V9" s="17"/>
      <c r="W9" s="17"/>
      <c r="X9" s="17"/>
      <c r="Y9" s="17" t="s">
        <v>100</v>
      </c>
      <c r="Z9" s="22"/>
      <c r="AA9" s="17" t="s">
        <v>90</v>
      </c>
      <c r="AB9" s="17"/>
      <c r="AC9" s="17"/>
      <c r="AD9" s="17"/>
      <c r="AE9" s="17"/>
      <c r="AF9" s="17"/>
      <c r="AG9" s="17"/>
      <c r="AH9" s="17"/>
      <c r="AI9" s="17" t="s">
        <v>90</v>
      </c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 t="s">
        <v>90</v>
      </c>
      <c r="BS9" s="17"/>
      <c r="BT9" s="17" t="s">
        <v>186</v>
      </c>
      <c r="BU9" s="17"/>
      <c r="BV9" s="17"/>
      <c r="BW9" s="17"/>
      <c r="BX9" s="17" t="s">
        <v>91</v>
      </c>
      <c r="BY9" s="17"/>
      <c r="BZ9" s="17" t="s">
        <v>91</v>
      </c>
      <c r="CA9" s="17" t="s">
        <v>187</v>
      </c>
      <c r="CB9" s="17" t="s">
        <v>188</v>
      </c>
      <c r="CC9" s="17" t="s">
        <v>189</v>
      </c>
      <c r="CD9" s="17"/>
      <c r="CE9" s="17" t="s">
        <v>90</v>
      </c>
      <c r="CF9" s="17"/>
    </row>
    <row r="10" spans="1:84" ht="15" x14ac:dyDescent="0.2">
      <c r="A10" s="17" t="s">
        <v>127</v>
      </c>
      <c r="B10" s="18">
        <v>48188718</v>
      </c>
      <c r="C10" s="19">
        <v>45377.679166666669</v>
      </c>
      <c r="D10" s="17" t="s">
        <v>190</v>
      </c>
      <c r="E10" s="17" t="s">
        <v>129</v>
      </c>
      <c r="F10" s="17"/>
      <c r="G10" s="20">
        <v>575</v>
      </c>
      <c r="H10" s="20">
        <v>1201.18</v>
      </c>
      <c r="I10" s="20">
        <v>51.18</v>
      </c>
      <c r="J10" s="17" t="s">
        <v>96</v>
      </c>
      <c r="K10" s="21">
        <v>35503</v>
      </c>
      <c r="L10" s="18">
        <v>27</v>
      </c>
      <c r="M10" s="17" t="s">
        <v>191</v>
      </c>
      <c r="N10" s="17" t="s">
        <v>115</v>
      </c>
      <c r="O10" s="18">
        <v>33301</v>
      </c>
      <c r="P10" s="17" t="s">
        <v>86</v>
      </c>
      <c r="Q10" s="17" t="s">
        <v>87</v>
      </c>
      <c r="R10" s="17" t="s">
        <v>101</v>
      </c>
      <c r="S10" s="17" t="s">
        <v>93</v>
      </c>
      <c r="T10" s="17"/>
      <c r="U10" s="17" t="s">
        <v>192</v>
      </c>
      <c r="V10" s="22"/>
      <c r="W10" s="17"/>
      <c r="X10" s="17" t="s">
        <v>193</v>
      </c>
      <c r="Y10" s="17" t="s">
        <v>102</v>
      </c>
      <c r="Z10" s="22"/>
      <c r="AA10" s="17"/>
      <c r="AB10" s="17"/>
      <c r="AC10" s="17" t="s">
        <v>90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 t="s">
        <v>90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 t="s">
        <v>90</v>
      </c>
      <c r="BT10" s="17"/>
      <c r="BU10" s="17"/>
      <c r="BV10" s="17"/>
      <c r="BW10" s="17"/>
      <c r="BX10" s="17" t="s">
        <v>91</v>
      </c>
      <c r="BY10" s="17"/>
      <c r="BZ10" s="17" t="s">
        <v>91</v>
      </c>
      <c r="CA10" s="17" t="s">
        <v>194</v>
      </c>
      <c r="CB10" s="17" t="s">
        <v>195</v>
      </c>
      <c r="CC10" s="17" t="s">
        <v>196</v>
      </c>
      <c r="CD10" s="22"/>
      <c r="CE10" s="17" t="s">
        <v>90</v>
      </c>
      <c r="CF10" s="17"/>
    </row>
    <row r="11" spans="1:84" ht="15" x14ac:dyDescent="0.2">
      <c r="A11" s="17" t="s">
        <v>127</v>
      </c>
      <c r="B11" s="18">
        <v>47726270</v>
      </c>
      <c r="C11" s="19">
        <v>45377.988194444442</v>
      </c>
      <c r="D11" s="17" t="s">
        <v>106</v>
      </c>
      <c r="E11" s="17" t="s">
        <v>185</v>
      </c>
      <c r="F11" s="17"/>
      <c r="G11" s="20">
        <v>875</v>
      </c>
      <c r="H11" s="20">
        <v>911.09</v>
      </c>
      <c r="I11" s="20">
        <v>36.090000000000003</v>
      </c>
      <c r="J11" s="17" t="s">
        <v>84</v>
      </c>
      <c r="K11" s="21">
        <v>31764</v>
      </c>
      <c r="L11" s="18">
        <v>37</v>
      </c>
      <c r="M11" s="17" t="s">
        <v>197</v>
      </c>
      <c r="N11" s="17" t="s">
        <v>114</v>
      </c>
      <c r="O11" s="18">
        <v>60126</v>
      </c>
      <c r="P11" s="17" t="s">
        <v>86</v>
      </c>
      <c r="Q11" s="17" t="s">
        <v>87</v>
      </c>
      <c r="R11" s="17" t="s">
        <v>103</v>
      </c>
      <c r="S11" s="17" t="s">
        <v>93</v>
      </c>
      <c r="T11" s="17"/>
      <c r="U11" s="17"/>
      <c r="V11" s="17"/>
      <c r="W11" s="17"/>
      <c r="X11" s="17"/>
      <c r="Y11" s="17" t="s">
        <v>99</v>
      </c>
      <c r="Z11" s="17"/>
      <c r="AA11" s="17" t="s">
        <v>90</v>
      </c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 t="s">
        <v>90</v>
      </c>
      <c r="AV11" s="17"/>
      <c r="AW11" s="17"/>
      <c r="AX11" s="17"/>
      <c r="AY11" s="17"/>
      <c r="AZ11" s="17" t="s">
        <v>90</v>
      </c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 t="s">
        <v>90</v>
      </c>
      <c r="BR11" s="17"/>
      <c r="BS11" s="17"/>
      <c r="BT11" s="17" t="s">
        <v>198</v>
      </c>
      <c r="BU11" s="22"/>
      <c r="BV11" s="17"/>
      <c r="BW11" s="17"/>
      <c r="BX11" s="17" t="s">
        <v>90</v>
      </c>
      <c r="BY11" s="17" t="s">
        <v>199</v>
      </c>
      <c r="BZ11" s="17" t="s">
        <v>135</v>
      </c>
      <c r="CA11" s="17" t="s">
        <v>200</v>
      </c>
      <c r="CB11" s="17" t="s">
        <v>201</v>
      </c>
      <c r="CC11" s="17" t="s">
        <v>107</v>
      </c>
      <c r="CD11" s="17" t="s">
        <v>202</v>
      </c>
      <c r="CE11" s="17" t="s">
        <v>90</v>
      </c>
      <c r="CF11" s="17"/>
    </row>
    <row r="12" spans="1:84" ht="15" x14ac:dyDescent="0.2">
      <c r="A12" s="17" t="s">
        <v>127</v>
      </c>
      <c r="B12" s="18">
        <v>46923792</v>
      </c>
      <c r="C12" s="19">
        <v>45378.460416666669</v>
      </c>
      <c r="D12" s="17" t="s">
        <v>203</v>
      </c>
      <c r="E12" s="17" t="s">
        <v>185</v>
      </c>
      <c r="F12" s="17" t="s">
        <v>110</v>
      </c>
      <c r="G12" s="20">
        <v>875</v>
      </c>
      <c r="H12" s="20">
        <v>0</v>
      </c>
      <c r="I12" s="20">
        <v>0</v>
      </c>
      <c r="J12" s="17" t="s">
        <v>84</v>
      </c>
      <c r="K12" s="21">
        <v>34460</v>
      </c>
      <c r="L12" s="18">
        <v>29</v>
      </c>
      <c r="M12" s="17" t="s">
        <v>130</v>
      </c>
      <c r="N12" s="17" t="s">
        <v>114</v>
      </c>
      <c r="O12" s="18">
        <v>60657</v>
      </c>
      <c r="P12" s="17" t="s">
        <v>86</v>
      </c>
      <c r="Q12" s="17" t="s">
        <v>87</v>
      </c>
      <c r="R12" s="17" t="s">
        <v>103</v>
      </c>
      <c r="S12" s="17" t="s">
        <v>93</v>
      </c>
      <c r="T12" s="17"/>
      <c r="U12" s="17"/>
      <c r="V12" s="17"/>
      <c r="W12" s="17"/>
      <c r="X12" s="17"/>
      <c r="Y12" s="17" t="s">
        <v>100</v>
      </c>
      <c r="Z12" s="22"/>
      <c r="AA12" s="17" t="s">
        <v>90</v>
      </c>
      <c r="AB12" s="17" t="s">
        <v>90</v>
      </c>
      <c r="AC12" s="17"/>
      <c r="AD12" s="17"/>
      <c r="AE12" s="17"/>
      <c r="AF12" s="17"/>
      <c r="AG12" s="17" t="s">
        <v>90</v>
      </c>
      <c r="AH12" s="17"/>
      <c r="AI12" s="17"/>
      <c r="AJ12" s="17" t="s">
        <v>90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 t="s">
        <v>90</v>
      </c>
      <c r="BR12" s="17"/>
      <c r="BS12" s="17"/>
      <c r="BT12" s="17" t="s">
        <v>204</v>
      </c>
      <c r="BU12" s="17"/>
      <c r="BV12" s="17"/>
      <c r="BW12" s="17"/>
      <c r="BX12" s="17" t="s">
        <v>90</v>
      </c>
      <c r="BY12" s="17" t="s">
        <v>205</v>
      </c>
      <c r="BZ12" s="17" t="s">
        <v>91</v>
      </c>
      <c r="CA12" s="17"/>
      <c r="CB12" s="17" t="s">
        <v>206</v>
      </c>
      <c r="CC12" s="22"/>
      <c r="CD12" s="17" t="s">
        <v>207</v>
      </c>
      <c r="CE12" s="17" t="s">
        <v>90</v>
      </c>
      <c r="CF12" s="17"/>
    </row>
    <row r="13" spans="1:84" ht="15" x14ac:dyDescent="0.2">
      <c r="A13" s="17" t="s">
        <v>127</v>
      </c>
      <c r="B13" s="18">
        <v>48158343</v>
      </c>
      <c r="C13" s="19">
        <v>45378.5625</v>
      </c>
      <c r="D13" s="17" t="s">
        <v>208</v>
      </c>
      <c r="E13" s="17" t="s">
        <v>129</v>
      </c>
      <c r="F13" s="17" t="s">
        <v>154</v>
      </c>
      <c r="G13" s="20">
        <v>555</v>
      </c>
      <c r="H13" s="20">
        <v>579.89</v>
      </c>
      <c r="I13" s="20">
        <v>24.89</v>
      </c>
      <c r="J13" s="17" t="s">
        <v>96</v>
      </c>
      <c r="K13" s="21">
        <v>33909</v>
      </c>
      <c r="L13" s="18">
        <v>31</v>
      </c>
      <c r="M13" s="17" t="s">
        <v>209</v>
      </c>
      <c r="N13" s="17" t="s">
        <v>114</v>
      </c>
      <c r="O13" s="18">
        <v>60137</v>
      </c>
      <c r="P13" s="17" t="s">
        <v>86</v>
      </c>
      <c r="Q13" s="17" t="s">
        <v>87</v>
      </c>
      <c r="R13" s="17" t="s">
        <v>88</v>
      </c>
      <c r="S13" s="17" t="s">
        <v>109</v>
      </c>
      <c r="T13" s="22"/>
      <c r="U13" s="17" t="s">
        <v>147</v>
      </c>
      <c r="V13" s="22"/>
      <c r="W13" s="17"/>
      <c r="X13" s="17" t="s">
        <v>210</v>
      </c>
      <c r="Y13" s="17" t="s">
        <v>99</v>
      </c>
      <c r="Z13" s="17"/>
      <c r="AA13" s="17" t="s">
        <v>90</v>
      </c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90</v>
      </c>
      <c r="AU13" s="17" t="s">
        <v>90</v>
      </c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 t="s">
        <v>90</v>
      </c>
      <c r="BT13" s="17"/>
      <c r="BU13" s="17"/>
      <c r="BV13" s="17"/>
      <c r="BW13" s="17"/>
      <c r="BX13" s="17" t="s">
        <v>91</v>
      </c>
      <c r="BY13" s="17"/>
      <c r="BZ13" s="17" t="s">
        <v>135</v>
      </c>
      <c r="CA13" s="17" t="s">
        <v>121</v>
      </c>
      <c r="CB13" s="17" t="s">
        <v>211</v>
      </c>
      <c r="CC13" s="17" t="s">
        <v>212</v>
      </c>
      <c r="CD13" s="22"/>
      <c r="CE13" s="17" t="s">
        <v>90</v>
      </c>
      <c r="CF13" s="17"/>
    </row>
    <row r="14" spans="1:84" ht="15" x14ac:dyDescent="0.2">
      <c r="A14" s="17" t="s">
        <v>127</v>
      </c>
      <c r="B14" s="18">
        <v>46958334</v>
      </c>
      <c r="C14" s="19">
        <v>45378.626388888886</v>
      </c>
      <c r="D14" s="17" t="s">
        <v>213</v>
      </c>
      <c r="E14" s="17" t="s">
        <v>185</v>
      </c>
      <c r="F14" s="17"/>
      <c r="G14" s="20">
        <v>875</v>
      </c>
      <c r="H14" s="20">
        <v>910.79</v>
      </c>
      <c r="I14" s="20">
        <v>35.799999999999997</v>
      </c>
      <c r="J14" s="17" t="s">
        <v>96</v>
      </c>
      <c r="K14" s="21">
        <v>30546</v>
      </c>
      <c r="L14" s="18">
        <v>40</v>
      </c>
      <c r="M14" s="17" t="s">
        <v>130</v>
      </c>
      <c r="N14" s="17" t="s">
        <v>114</v>
      </c>
      <c r="O14" s="18">
        <v>60613</v>
      </c>
      <c r="P14" s="17" t="s">
        <v>86</v>
      </c>
      <c r="Q14" s="17" t="s">
        <v>87</v>
      </c>
      <c r="R14" s="17" t="s">
        <v>103</v>
      </c>
      <c r="S14" s="17" t="s">
        <v>98</v>
      </c>
      <c r="T14" s="17" t="s">
        <v>214</v>
      </c>
      <c r="U14" s="17"/>
      <c r="V14" s="17"/>
      <c r="W14" s="17"/>
      <c r="X14" s="17"/>
      <c r="Y14" s="17" t="s">
        <v>99</v>
      </c>
      <c r="Z14" s="17"/>
      <c r="AA14" s="17"/>
      <c r="AB14" s="17" t="s">
        <v>90</v>
      </c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 t="s">
        <v>90</v>
      </c>
      <c r="BI14" s="17"/>
      <c r="BJ14" s="17"/>
      <c r="BK14" s="17"/>
      <c r="BL14" s="17"/>
      <c r="BM14" s="17"/>
      <c r="BN14" s="17"/>
      <c r="BO14" s="17"/>
      <c r="BP14" s="17"/>
      <c r="BQ14" s="17" t="s">
        <v>90</v>
      </c>
      <c r="BR14" s="17" t="s">
        <v>90</v>
      </c>
      <c r="BS14" s="17"/>
      <c r="BT14" s="17" t="s">
        <v>215</v>
      </c>
      <c r="BU14" s="17"/>
      <c r="BV14" s="17"/>
      <c r="BW14" s="17"/>
      <c r="BX14" s="17" t="s">
        <v>91</v>
      </c>
      <c r="BY14" s="17"/>
      <c r="BZ14" s="17" t="s">
        <v>91</v>
      </c>
      <c r="CA14" s="17" t="s">
        <v>216</v>
      </c>
      <c r="CB14" s="17" t="s">
        <v>217</v>
      </c>
      <c r="CC14" s="17" t="s">
        <v>218</v>
      </c>
      <c r="CD14" s="17" t="s">
        <v>219</v>
      </c>
      <c r="CE14" s="17" t="s">
        <v>90</v>
      </c>
      <c r="CF14" s="17"/>
    </row>
    <row r="15" spans="1:84" ht="15" x14ac:dyDescent="0.2">
      <c r="A15" s="17" t="s">
        <v>127</v>
      </c>
      <c r="B15" s="18">
        <v>48196068</v>
      </c>
      <c r="C15" s="19">
        <v>45378.855555555558</v>
      </c>
      <c r="D15" s="17" t="s">
        <v>220</v>
      </c>
      <c r="E15" s="17" t="s">
        <v>129</v>
      </c>
      <c r="F15" s="17"/>
      <c r="G15" s="20">
        <v>575</v>
      </c>
      <c r="H15" s="20">
        <v>600.59</v>
      </c>
      <c r="I15" s="20">
        <v>25.59</v>
      </c>
      <c r="J15" s="17" t="s">
        <v>84</v>
      </c>
      <c r="K15" s="21">
        <v>34067</v>
      </c>
      <c r="L15" s="18">
        <v>31</v>
      </c>
      <c r="M15" s="17" t="s">
        <v>130</v>
      </c>
      <c r="N15" s="17" t="s">
        <v>114</v>
      </c>
      <c r="O15" s="18">
        <v>60640</v>
      </c>
      <c r="P15" s="17" t="s">
        <v>86</v>
      </c>
      <c r="Q15" s="17" t="s">
        <v>87</v>
      </c>
      <c r="R15" s="17" t="s">
        <v>88</v>
      </c>
      <c r="S15" s="17" t="s">
        <v>93</v>
      </c>
      <c r="T15" s="17"/>
      <c r="U15" s="17" t="s">
        <v>192</v>
      </c>
      <c r="V15" s="22"/>
      <c r="W15" s="17"/>
      <c r="X15" s="17"/>
      <c r="Y15" s="17" t="s">
        <v>99</v>
      </c>
      <c r="Z15" s="17"/>
      <c r="AA15" s="17" t="s">
        <v>90</v>
      </c>
      <c r="AB15" s="17" t="s">
        <v>90</v>
      </c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 t="s">
        <v>90</v>
      </c>
      <c r="AU15" s="17" t="s">
        <v>90</v>
      </c>
      <c r="AV15" s="17" t="s">
        <v>90</v>
      </c>
      <c r="AW15" s="17" t="s">
        <v>90</v>
      </c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 t="s">
        <v>90</v>
      </c>
      <c r="BR15" s="17" t="s">
        <v>90</v>
      </c>
      <c r="BS15" s="17"/>
      <c r="BT15" s="17" t="s">
        <v>221</v>
      </c>
      <c r="BU15" s="22"/>
      <c r="BV15" s="17"/>
      <c r="BW15" s="17"/>
      <c r="BX15" s="17" t="s">
        <v>91</v>
      </c>
      <c r="BY15" s="17"/>
      <c r="BZ15" s="17" t="s">
        <v>181</v>
      </c>
      <c r="CA15" s="17" t="s">
        <v>222</v>
      </c>
      <c r="CB15" s="17" t="s">
        <v>223</v>
      </c>
      <c r="CC15" s="17" t="s">
        <v>104</v>
      </c>
      <c r="CD15" s="17"/>
      <c r="CE15" s="17" t="s">
        <v>90</v>
      </c>
      <c r="CF15" s="17"/>
    </row>
    <row r="16" spans="1:84" ht="15" x14ac:dyDescent="0.2">
      <c r="A16" s="17" t="s">
        <v>127</v>
      </c>
      <c r="B16" s="18">
        <v>48186012</v>
      </c>
      <c r="C16" s="19">
        <v>45379.053472222222</v>
      </c>
      <c r="D16" s="17" t="s">
        <v>224</v>
      </c>
      <c r="E16" s="17" t="s">
        <v>129</v>
      </c>
      <c r="F16" s="17"/>
      <c r="G16" s="20">
        <v>575</v>
      </c>
      <c r="H16" s="20">
        <v>602.29999999999995</v>
      </c>
      <c r="I16" s="20">
        <v>27.3</v>
      </c>
      <c r="J16" s="17" t="s">
        <v>96</v>
      </c>
      <c r="K16" s="21">
        <v>33006</v>
      </c>
      <c r="L16" s="18">
        <v>34</v>
      </c>
      <c r="M16" s="17" t="s">
        <v>130</v>
      </c>
      <c r="N16" s="17" t="s">
        <v>114</v>
      </c>
      <c r="O16" s="18">
        <v>60642</v>
      </c>
      <c r="P16" s="17" t="s">
        <v>86</v>
      </c>
      <c r="Q16" s="17" t="s">
        <v>87</v>
      </c>
      <c r="R16" s="17" t="s">
        <v>101</v>
      </c>
      <c r="S16" s="17" t="s">
        <v>225</v>
      </c>
      <c r="T16" s="22"/>
      <c r="U16" s="17" t="s">
        <v>192</v>
      </c>
      <c r="V16" s="22"/>
      <c r="W16" s="17"/>
      <c r="X16" s="17" t="s">
        <v>226</v>
      </c>
      <c r="Y16" s="17" t="s">
        <v>102</v>
      </c>
      <c r="Z16" s="22"/>
      <c r="AA16" s="17"/>
      <c r="AB16" s="17"/>
      <c r="AC16" s="17" t="s">
        <v>90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 t="s">
        <v>90</v>
      </c>
      <c r="BM16" s="17"/>
      <c r="BN16" s="17"/>
      <c r="BO16" s="17"/>
      <c r="BP16" s="17"/>
      <c r="BQ16" s="17" t="s">
        <v>90</v>
      </c>
      <c r="BR16" s="17"/>
      <c r="BS16" s="17"/>
      <c r="BT16" s="17" t="s">
        <v>227</v>
      </c>
      <c r="BU16" s="17"/>
      <c r="BV16" s="17"/>
      <c r="BW16" s="17"/>
      <c r="BX16" s="17" t="s">
        <v>91</v>
      </c>
      <c r="BY16" s="17"/>
      <c r="BZ16" s="17" t="s">
        <v>181</v>
      </c>
      <c r="CA16" s="17" t="s">
        <v>228</v>
      </c>
      <c r="CB16" s="17" t="s">
        <v>229</v>
      </c>
      <c r="CC16" s="17" t="s">
        <v>230</v>
      </c>
      <c r="CD16" s="22"/>
      <c r="CE16" s="17" t="s">
        <v>90</v>
      </c>
      <c r="CF16" s="17"/>
    </row>
    <row r="17" spans="1:84" ht="15" x14ac:dyDescent="0.2">
      <c r="A17" s="17" t="s">
        <v>127</v>
      </c>
      <c r="B17" s="18">
        <v>46950738</v>
      </c>
      <c r="C17" s="19">
        <v>45389.811111111114</v>
      </c>
      <c r="D17" s="17" t="s">
        <v>231</v>
      </c>
      <c r="E17" s="17" t="s">
        <v>129</v>
      </c>
      <c r="F17" s="17" t="s">
        <v>110</v>
      </c>
      <c r="G17" s="20">
        <v>575</v>
      </c>
      <c r="H17" s="20">
        <v>0</v>
      </c>
      <c r="I17" s="20">
        <v>0</v>
      </c>
      <c r="J17" s="17" t="s">
        <v>96</v>
      </c>
      <c r="K17" s="21">
        <v>33506</v>
      </c>
      <c r="L17" s="18">
        <v>32</v>
      </c>
      <c r="M17" s="17" t="s">
        <v>232</v>
      </c>
      <c r="N17" s="17" t="s">
        <v>162</v>
      </c>
      <c r="O17" s="18">
        <v>53202</v>
      </c>
      <c r="P17" s="17" t="s">
        <v>86</v>
      </c>
      <c r="Q17" s="17" t="s">
        <v>87</v>
      </c>
      <c r="R17" s="17" t="s">
        <v>101</v>
      </c>
      <c r="S17" s="17" t="s">
        <v>93</v>
      </c>
      <c r="T17" s="17"/>
      <c r="U17" s="17" t="s">
        <v>192</v>
      </c>
      <c r="V17" s="22"/>
      <c r="W17" s="17"/>
      <c r="X17" s="17"/>
      <c r="Y17" s="17" t="s">
        <v>102</v>
      </c>
      <c r="Z17" s="22"/>
      <c r="AA17" s="17" t="s">
        <v>90</v>
      </c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 t="s">
        <v>90</v>
      </c>
      <c r="AV17" s="17"/>
      <c r="AW17" s="17" t="s">
        <v>90</v>
      </c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 t="s">
        <v>90</v>
      </c>
      <c r="BS17" s="17"/>
      <c r="BT17" s="17" t="s">
        <v>233</v>
      </c>
      <c r="BU17" s="17"/>
      <c r="BV17" s="17"/>
      <c r="BW17" s="17"/>
      <c r="BX17" s="17" t="s">
        <v>91</v>
      </c>
      <c r="BY17" s="17"/>
      <c r="BZ17" s="17" t="s">
        <v>181</v>
      </c>
      <c r="CA17" s="17" t="s">
        <v>234</v>
      </c>
      <c r="CB17" s="17" t="s">
        <v>235</v>
      </c>
      <c r="CC17" s="17" t="s">
        <v>236</v>
      </c>
      <c r="CD17" s="17" t="s">
        <v>237</v>
      </c>
      <c r="CE17" s="17" t="s">
        <v>90</v>
      </c>
      <c r="CF17" s="17"/>
    </row>
    <row r="18" spans="1:84" ht="15" x14ac:dyDescent="0.2">
      <c r="A18" s="17" t="s">
        <v>127</v>
      </c>
      <c r="B18" s="18">
        <v>48213747</v>
      </c>
      <c r="C18" s="19">
        <v>45392.393750000003</v>
      </c>
      <c r="D18" s="17" t="s">
        <v>238</v>
      </c>
      <c r="E18" s="17" t="s">
        <v>160</v>
      </c>
      <c r="F18" s="17"/>
      <c r="G18" s="20">
        <v>775</v>
      </c>
      <c r="H18" s="20">
        <v>807.59</v>
      </c>
      <c r="I18" s="20">
        <v>32.590000000000003</v>
      </c>
      <c r="J18" s="17" t="s">
        <v>178</v>
      </c>
      <c r="K18" s="21">
        <v>34079</v>
      </c>
      <c r="L18" s="18">
        <v>31</v>
      </c>
      <c r="M18" s="17" t="s">
        <v>239</v>
      </c>
      <c r="N18" s="17" t="s">
        <v>240</v>
      </c>
      <c r="O18" s="18">
        <v>80112</v>
      </c>
      <c r="P18" s="17" t="s">
        <v>86</v>
      </c>
      <c r="Q18" s="17" t="s">
        <v>87</v>
      </c>
      <c r="R18" s="17" t="s">
        <v>97</v>
      </c>
      <c r="S18" s="17" t="s">
        <v>98</v>
      </c>
      <c r="T18" s="17" t="s">
        <v>241</v>
      </c>
      <c r="U18" s="17"/>
      <c r="V18" s="17" t="s">
        <v>242</v>
      </c>
      <c r="W18" s="22"/>
      <c r="X18" s="22"/>
      <c r="Y18" s="17" t="s">
        <v>99</v>
      </c>
      <c r="Z18" s="17"/>
      <c r="AA18" s="17" t="s">
        <v>90</v>
      </c>
      <c r="AB18" s="17" t="s">
        <v>90</v>
      </c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 t="s">
        <v>90</v>
      </c>
      <c r="AU18" s="17"/>
      <c r="AV18" s="17"/>
      <c r="AW18" s="17" t="s">
        <v>90</v>
      </c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 t="s">
        <v>90</v>
      </c>
      <c r="BS18" s="17"/>
      <c r="BT18" s="17" t="s">
        <v>243</v>
      </c>
      <c r="BU18" s="22"/>
      <c r="BV18" s="22"/>
      <c r="BW18" s="22"/>
      <c r="BX18" s="17" t="s">
        <v>91</v>
      </c>
      <c r="BY18" s="17"/>
      <c r="BZ18" s="17" t="s">
        <v>135</v>
      </c>
      <c r="CA18" s="17" t="s">
        <v>244</v>
      </c>
      <c r="CB18" s="17" t="s">
        <v>245</v>
      </c>
      <c r="CC18" s="17" t="s">
        <v>246</v>
      </c>
      <c r="CD18" s="17" t="s">
        <v>247</v>
      </c>
      <c r="CE18" s="17" t="s">
        <v>90</v>
      </c>
      <c r="CF18" s="17"/>
    </row>
    <row r="19" spans="1:84" ht="15" x14ac:dyDescent="0.2">
      <c r="A19" s="17" t="s">
        <v>127</v>
      </c>
      <c r="B19" s="18">
        <v>48182388</v>
      </c>
      <c r="C19" s="19">
        <v>45397.466666666667</v>
      </c>
      <c r="D19" s="17" t="s">
        <v>248</v>
      </c>
      <c r="E19" s="17" t="s">
        <v>129</v>
      </c>
      <c r="F19" s="17"/>
      <c r="G19" s="20">
        <v>575</v>
      </c>
      <c r="H19" s="20">
        <v>1201.18</v>
      </c>
      <c r="I19" s="20">
        <v>51.18</v>
      </c>
      <c r="J19" s="17" t="s">
        <v>84</v>
      </c>
      <c r="K19" s="21">
        <v>34126</v>
      </c>
      <c r="L19" s="18">
        <v>30</v>
      </c>
      <c r="M19" s="17" t="s">
        <v>130</v>
      </c>
      <c r="N19" s="17" t="s">
        <v>114</v>
      </c>
      <c r="O19" s="18">
        <v>60651</v>
      </c>
      <c r="P19" s="17" t="s">
        <v>86</v>
      </c>
      <c r="Q19" s="17" t="s">
        <v>87</v>
      </c>
      <c r="R19" s="17" t="s">
        <v>103</v>
      </c>
      <c r="S19" s="17" t="s">
        <v>93</v>
      </c>
      <c r="T19" s="17"/>
      <c r="U19" s="17" t="s">
        <v>249</v>
      </c>
      <c r="V19" s="17"/>
      <c r="W19" s="17"/>
      <c r="X19" s="17"/>
      <c r="Y19" s="17" t="s">
        <v>102</v>
      </c>
      <c r="Z19" s="22"/>
      <c r="AA19" s="17" t="s">
        <v>90</v>
      </c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 t="s">
        <v>90</v>
      </c>
      <c r="AR19" s="17"/>
      <c r="AS19" s="17"/>
      <c r="AT19" s="17" t="s">
        <v>90</v>
      </c>
      <c r="AU19" s="17" t="s">
        <v>90</v>
      </c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 t="s">
        <v>90</v>
      </c>
      <c r="BS19" s="17"/>
      <c r="BT19" s="17" t="s">
        <v>250</v>
      </c>
      <c r="BU19" s="22"/>
      <c r="BV19" s="17"/>
      <c r="BW19" s="17"/>
      <c r="BX19" s="17" t="s">
        <v>91</v>
      </c>
      <c r="BY19" s="17"/>
      <c r="BZ19" s="17" t="s">
        <v>91</v>
      </c>
      <c r="CA19" s="17" t="s">
        <v>117</v>
      </c>
      <c r="CB19" s="17" t="s">
        <v>251</v>
      </c>
      <c r="CC19" s="17" t="s">
        <v>252</v>
      </c>
      <c r="CD19" s="17"/>
      <c r="CE19" s="17" t="s">
        <v>90</v>
      </c>
      <c r="CF19" s="17"/>
    </row>
    <row r="20" spans="1:84" ht="15" x14ac:dyDescent="0.2">
      <c r="A20" s="17" t="s">
        <v>127</v>
      </c>
      <c r="B20" s="18">
        <v>48182388</v>
      </c>
      <c r="C20" s="19">
        <v>45398.865277777775</v>
      </c>
      <c r="D20" s="17" t="s">
        <v>248</v>
      </c>
      <c r="E20" s="17" t="s">
        <v>129</v>
      </c>
      <c r="F20" s="17"/>
      <c r="G20" s="20">
        <v>575</v>
      </c>
      <c r="H20" s="20">
        <v>1201.18</v>
      </c>
      <c r="I20" s="20">
        <v>51.18</v>
      </c>
      <c r="J20" s="17" t="s">
        <v>96</v>
      </c>
      <c r="K20" s="21">
        <v>33808</v>
      </c>
      <c r="L20" s="18">
        <v>31</v>
      </c>
      <c r="M20" s="17" t="s">
        <v>130</v>
      </c>
      <c r="N20" s="17" t="s">
        <v>114</v>
      </c>
      <c r="O20" s="18">
        <v>60657</v>
      </c>
      <c r="P20" s="17" t="s">
        <v>86</v>
      </c>
      <c r="Q20" s="17" t="s">
        <v>87</v>
      </c>
      <c r="R20" s="17" t="s">
        <v>97</v>
      </c>
      <c r="S20" s="17" t="s">
        <v>93</v>
      </c>
      <c r="T20" s="17"/>
      <c r="U20" s="17" t="s">
        <v>147</v>
      </c>
      <c r="V20" s="22"/>
      <c r="W20" s="17"/>
      <c r="X20" s="17"/>
      <c r="Y20" s="17" t="s">
        <v>102</v>
      </c>
      <c r="Z20" s="22"/>
      <c r="AA20" s="17" t="s">
        <v>90</v>
      </c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 t="s">
        <v>90</v>
      </c>
      <c r="AR20" s="17"/>
      <c r="AS20" s="17"/>
      <c r="AT20" s="17" t="s">
        <v>90</v>
      </c>
      <c r="AU20" s="17" t="s">
        <v>90</v>
      </c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 t="s">
        <v>90</v>
      </c>
      <c r="BS20" s="17"/>
      <c r="BT20" s="17" t="s">
        <v>253</v>
      </c>
      <c r="BU20" s="22"/>
      <c r="BV20" s="17"/>
      <c r="BW20" s="17"/>
      <c r="BX20" s="17" t="s">
        <v>91</v>
      </c>
      <c r="BY20" s="17"/>
      <c r="BZ20" s="17" t="s">
        <v>91</v>
      </c>
      <c r="CA20" s="17" t="s">
        <v>254</v>
      </c>
      <c r="CB20" s="17" t="s">
        <v>255</v>
      </c>
      <c r="CC20" s="17" t="s">
        <v>256</v>
      </c>
      <c r="CD20" s="22"/>
      <c r="CE20" s="17" t="s">
        <v>90</v>
      </c>
      <c r="CF20" s="17"/>
    </row>
    <row r="21" spans="1:84" ht="15" x14ac:dyDescent="0.2">
      <c r="A21" s="17" t="s">
        <v>127</v>
      </c>
      <c r="B21" s="18">
        <v>46906002</v>
      </c>
      <c r="C21" s="19">
        <v>45405.494444444441</v>
      </c>
      <c r="D21" s="17" t="s">
        <v>257</v>
      </c>
      <c r="E21" s="17" t="s">
        <v>129</v>
      </c>
      <c r="F21" s="17" t="s">
        <v>110</v>
      </c>
      <c r="G21" s="20">
        <v>575</v>
      </c>
      <c r="H21" s="20">
        <v>0</v>
      </c>
      <c r="I21" s="20">
        <v>0</v>
      </c>
      <c r="J21" s="17" t="s">
        <v>96</v>
      </c>
      <c r="K21" s="21">
        <v>31090</v>
      </c>
      <c r="L21" s="18">
        <v>39</v>
      </c>
      <c r="M21" s="17" t="s">
        <v>258</v>
      </c>
      <c r="N21" s="17" t="s">
        <v>259</v>
      </c>
      <c r="O21" s="18">
        <v>10956</v>
      </c>
      <c r="P21" s="17" t="s">
        <v>86</v>
      </c>
      <c r="Q21" s="17" t="s">
        <v>87</v>
      </c>
      <c r="R21" s="17" t="s">
        <v>97</v>
      </c>
      <c r="S21" s="17" t="s">
        <v>93</v>
      </c>
      <c r="T21" s="17"/>
      <c r="U21" s="17" t="s">
        <v>147</v>
      </c>
      <c r="V21" s="22"/>
      <c r="W21" s="17"/>
      <c r="X21" s="17" t="s">
        <v>260</v>
      </c>
      <c r="Y21" s="17" t="s">
        <v>99</v>
      </c>
      <c r="Z21" s="17"/>
      <c r="AA21" s="17" t="s">
        <v>90</v>
      </c>
      <c r="AB21" s="17" t="s">
        <v>90</v>
      </c>
      <c r="AC21" s="17"/>
      <c r="AD21" s="17"/>
      <c r="AE21" s="17"/>
      <c r="AF21" s="17"/>
      <c r="AG21" s="17"/>
      <c r="AH21" s="17" t="s">
        <v>90</v>
      </c>
      <c r="AI21" s="17"/>
      <c r="AJ21" s="17" t="s">
        <v>90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 t="s">
        <v>90</v>
      </c>
      <c r="BR21" s="17" t="s">
        <v>90</v>
      </c>
      <c r="BS21" s="17"/>
      <c r="BT21" s="17" t="s">
        <v>261</v>
      </c>
      <c r="BU21" s="17"/>
      <c r="BV21" s="17"/>
      <c r="BW21" s="17"/>
      <c r="BX21" s="17" t="s">
        <v>91</v>
      </c>
      <c r="BY21" s="17"/>
      <c r="BZ21" s="17" t="s">
        <v>135</v>
      </c>
      <c r="CA21" s="17" t="s">
        <v>112</v>
      </c>
      <c r="CB21" s="17" t="s">
        <v>262</v>
      </c>
      <c r="CC21" s="17" t="s">
        <v>263</v>
      </c>
      <c r="CD21" s="22"/>
      <c r="CE21" s="17" t="s">
        <v>90</v>
      </c>
      <c r="CF21" s="17"/>
    </row>
    <row r="22" spans="1:84" ht="15" x14ac:dyDescent="0.2">
      <c r="A22" s="17" t="s">
        <v>127</v>
      </c>
      <c r="B22" s="18">
        <v>46941408</v>
      </c>
      <c r="C22" s="19">
        <v>45405.941666666666</v>
      </c>
      <c r="D22" s="17" t="s">
        <v>264</v>
      </c>
      <c r="E22" s="17" t="s">
        <v>129</v>
      </c>
      <c r="F22" s="25"/>
      <c r="G22" s="20">
        <v>575</v>
      </c>
      <c r="H22" s="20">
        <v>600.29</v>
      </c>
      <c r="I22" s="20">
        <v>25.29</v>
      </c>
      <c r="J22" s="17" t="s">
        <v>84</v>
      </c>
      <c r="K22" s="21">
        <v>32067</v>
      </c>
      <c r="L22" s="18">
        <v>36</v>
      </c>
      <c r="M22" s="17" t="s">
        <v>130</v>
      </c>
      <c r="N22" s="17" t="s">
        <v>114</v>
      </c>
      <c r="O22" s="18">
        <v>60613</v>
      </c>
      <c r="P22" s="17" t="s">
        <v>86</v>
      </c>
      <c r="Q22" s="17" t="s">
        <v>87</v>
      </c>
      <c r="R22" s="17" t="s">
        <v>88</v>
      </c>
      <c r="S22" s="17" t="s">
        <v>265</v>
      </c>
      <c r="T22" s="22"/>
      <c r="U22" s="17" t="s">
        <v>133</v>
      </c>
      <c r="V22" s="22"/>
      <c r="W22" s="17"/>
      <c r="X22" s="17" t="s">
        <v>266</v>
      </c>
      <c r="Y22" s="17" t="s">
        <v>94</v>
      </c>
      <c r="Z22" s="17"/>
      <c r="AA22" s="17" t="s">
        <v>90</v>
      </c>
      <c r="AB22" s="17" t="s">
        <v>90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 t="s">
        <v>90</v>
      </c>
      <c r="AV22" s="17"/>
      <c r="AW22" s="17" t="s">
        <v>90</v>
      </c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 t="s">
        <v>90</v>
      </c>
      <c r="BS22" s="17"/>
      <c r="BT22" s="17" t="s">
        <v>267</v>
      </c>
      <c r="BU22" s="17"/>
      <c r="BV22" s="17"/>
      <c r="BW22" s="17"/>
      <c r="BX22" s="17" t="s">
        <v>90</v>
      </c>
      <c r="BY22" s="17" t="s">
        <v>268</v>
      </c>
      <c r="BZ22" s="17" t="s">
        <v>181</v>
      </c>
      <c r="CA22" s="17" t="s">
        <v>269</v>
      </c>
      <c r="CB22" s="17" t="s">
        <v>270</v>
      </c>
      <c r="CC22" s="17" t="s">
        <v>271</v>
      </c>
      <c r="CD22" s="22"/>
      <c r="CE22" s="17" t="s">
        <v>90</v>
      </c>
      <c r="CF22" s="17"/>
    </row>
    <row r="23" spans="1:84" ht="15" x14ac:dyDescent="0.2">
      <c r="A23" s="17" t="s">
        <v>127</v>
      </c>
      <c r="B23" s="18">
        <v>46912681</v>
      </c>
      <c r="C23" s="19">
        <v>45407.413194444445</v>
      </c>
      <c r="D23" s="17" t="s">
        <v>119</v>
      </c>
      <c r="E23" s="17" t="s">
        <v>129</v>
      </c>
      <c r="F23" s="17" t="s">
        <v>110</v>
      </c>
      <c r="G23" s="20">
        <v>575</v>
      </c>
      <c r="H23" s="20">
        <v>0</v>
      </c>
      <c r="I23" s="20">
        <v>0</v>
      </c>
      <c r="J23" s="17" t="s">
        <v>96</v>
      </c>
      <c r="K23" s="21">
        <v>36120</v>
      </c>
      <c r="L23" s="18">
        <v>25</v>
      </c>
      <c r="M23" s="17" t="s">
        <v>130</v>
      </c>
      <c r="N23" s="17" t="s">
        <v>114</v>
      </c>
      <c r="O23" s="18">
        <v>60647</v>
      </c>
      <c r="P23" s="17" t="s">
        <v>86</v>
      </c>
      <c r="Q23" s="17" t="s">
        <v>87</v>
      </c>
      <c r="R23" s="17" t="s">
        <v>97</v>
      </c>
      <c r="S23" s="17" t="s">
        <v>93</v>
      </c>
      <c r="T23" s="17"/>
      <c r="U23" s="17" t="s">
        <v>192</v>
      </c>
      <c r="V23" s="22"/>
      <c r="W23" s="17"/>
      <c r="X23" s="17" t="s">
        <v>272</v>
      </c>
      <c r="Y23" s="17" t="s">
        <v>99</v>
      </c>
      <c r="Z23" s="17"/>
      <c r="AA23" s="17" t="s">
        <v>90</v>
      </c>
      <c r="AB23" s="17" t="s">
        <v>90</v>
      </c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90</v>
      </c>
      <c r="AS23" s="17" t="s">
        <v>90</v>
      </c>
      <c r="AT23" s="17" t="s">
        <v>90</v>
      </c>
      <c r="AU23" s="17" t="s">
        <v>90</v>
      </c>
      <c r="AV23" s="17" t="s">
        <v>90</v>
      </c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 t="s">
        <v>90</v>
      </c>
      <c r="BR23" s="17" t="s">
        <v>90</v>
      </c>
      <c r="BS23" s="17"/>
      <c r="BT23" s="17" t="s">
        <v>273</v>
      </c>
      <c r="BU23" s="17"/>
      <c r="BV23" s="17"/>
      <c r="BW23" s="17"/>
      <c r="BX23" s="17" t="s">
        <v>91</v>
      </c>
      <c r="BY23" s="17"/>
      <c r="BZ23" s="17" t="s">
        <v>135</v>
      </c>
      <c r="CA23" s="17" t="s">
        <v>274</v>
      </c>
      <c r="CB23" s="17" t="s">
        <v>275</v>
      </c>
      <c r="CC23" s="17" t="s">
        <v>276</v>
      </c>
      <c r="CD23" s="22"/>
      <c r="CE23" s="17" t="s">
        <v>90</v>
      </c>
      <c r="CF23" s="17"/>
    </row>
    <row r="24" spans="1:84" ht="15" x14ac:dyDescent="0.2">
      <c r="A24" s="17" t="s">
        <v>127</v>
      </c>
      <c r="B24" s="18">
        <v>46963060</v>
      </c>
      <c r="C24" s="19">
        <v>45409.511805555558</v>
      </c>
      <c r="D24" s="17" t="s">
        <v>277</v>
      </c>
      <c r="E24" s="17" t="s">
        <v>185</v>
      </c>
      <c r="F24" s="17"/>
      <c r="G24" s="20">
        <v>875</v>
      </c>
      <c r="H24" s="20">
        <v>913.39</v>
      </c>
      <c r="I24" s="20">
        <v>38.4</v>
      </c>
      <c r="J24" s="17" t="s">
        <v>96</v>
      </c>
      <c r="K24" s="21">
        <v>35469</v>
      </c>
      <c r="L24" s="18">
        <v>27</v>
      </c>
      <c r="M24" s="17" t="s">
        <v>278</v>
      </c>
      <c r="N24" s="17" t="s">
        <v>114</v>
      </c>
      <c r="O24" s="18">
        <v>60201</v>
      </c>
      <c r="P24" s="17" t="s">
        <v>86</v>
      </c>
      <c r="Q24" s="17" t="s">
        <v>87</v>
      </c>
      <c r="R24" s="17" t="s">
        <v>88</v>
      </c>
      <c r="S24" s="17" t="s">
        <v>93</v>
      </c>
      <c r="T24" s="17"/>
      <c r="U24" s="17"/>
      <c r="V24" s="17"/>
      <c r="W24" s="17"/>
      <c r="X24" s="17"/>
      <c r="Y24" s="17" t="s">
        <v>99</v>
      </c>
      <c r="Z24" s="17"/>
      <c r="AA24" s="17"/>
      <c r="AB24" s="17"/>
      <c r="AC24" s="17" t="s">
        <v>90</v>
      </c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 t="s">
        <v>90</v>
      </c>
      <c r="BJ24" s="17"/>
      <c r="BK24" s="17"/>
      <c r="BL24" s="17"/>
      <c r="BM24" s="17"/>
      <c r="BN24" s="17"/>
      <c r="BO24" s="17"/>
      <c r="BP24" s="17"/>
      <c r="BQ24" s="17"/>
      <c r="BR24" s="17" t="s">
        <v>90</v>
      </c>
      <c r="BS24" s="17"/>
      <c r="BT24" s="17" t="s">
        <v>279</v>
      </c>
      <c r="BU24" s="17" t="s">
        <v>280</v>
      </c>
      <c r="BV24" s="17"/>
      <c r="BW24" s="17"/>
      <c r="BX24" s="17" t="s">
        <v>91</v>
      </c>
      <c r="BY24" s="17"/>
      <c r="BZ24" s="17" t="s">
        <v>91</v>
      </c>
      <c r="CA24" s="17" t="s">
        <v>281</v>
      </c>
      <c r="CB24" s="17" t="s">
        <v>282</v>
      </c>
      <c r="CC24" s="17" t="s">
        <v>283</v>
      </c>
      <c r="CD24" s="17" t="s">
        <v>284</v>
      </c>
      <c r="CE24" s="17" t="s">
        <v>90</v>
      </c>
      <c r="CF24" s="17"/>
    </row>
    <row r="25" spans="1:84" ht="15" x14ac:dyDescent="0.2">
      <c r="A25" s="17" t="s">
        <v>127</v>
      </c>
      <c r="B25" s="18">
        <v>48341684</v>
      </c>
      <c r="C25" s="19">
        <v>45409.852777777778</v>
      </c>
      <c r="D25" s="17" t="s">
        <v>285</v>
      </c>
      <c r="E25" s="17" t="s">
        <v>160</v>
      </c>
      <c r="F25" s="17"/>
      <c r="G25" s="20">
        <v>775</v>
      </c>
      <c r="H25" s="20">
        <v>807.59</v>
      </c>
      <c r="I25" s="20">
        <v>32.590000000000003</v>
      </c>
      <c r="J25" s="17" t="s">
        <v>96</v>
      </c>
      <c r="K25" s="21">
        <v>32212</v>
      </c>
      <c r="L25" s="18">
        <v>35</v>
      </c>
      <c r="M25" s="17" t="s">
        <v>232</v>
      </c>
      <c r="N25" s="17" t="s">
        <v>162</v>
      </c>
      <c r="O25" s="18">
        <v>53213</v>
      </c>
      <c r="P25" s="17" t="s">
        <v>86</v>
      </c>
      <c r="Q25" s="17" t="s">
        <v>87</v>
      </c>
      <c r="R25" s="17" t="s">
        <v>92</v>
      </c>
      <c r="S25" s="17" t="s">
        <v>93</v>
      </c>
      <c r="T25" s="17"/>
      <c r="U25" s="17"/>
      <c r="V25" s="17" t="s">
        <v>90</v>
      </c>
      <c r="W25" s="17" t="s">
        <v>286</v>
      </c>
      <c r="X25" s="22"/>
      <c r="Y25" s="17" t="s">
        <v>100</v>
      </c>
      <c r="Z25" s="22"/>
      <c r="AA25" s="17"/>
      <c r="AB25" s="17"/>
      <c r="AC25" s="17" t="s">
        <v>90</v>
      </c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 t="s">
        <v>90</v>
      </c>
      <c r="BJ25" s="17"/>
      <c r="BK25" s="17"/>
      <c r="BL25" s="17"/>
      <c r="BM25" s="17"/>
      <c r="BN25" s="17"/>
      <c r="BO25" s="17"/>
      <c r="BP25" s="17"/>
      <c r="BQ25" s="17" t="s">
        <v>90</v>
      </c>
      <c r="BR25" s="17" t="s">
        <v>90</v>
      </c>
      <c r="BS25" s="17"/>
      <c r="BT25" s="17" t="s">
        <v>287</v>
      </c>
      <c r="BU25" s="17" t="s">
        <v>286</v>
      </c>
      <c r="BV25" s="22"/>
      <c r="BW25" s="17"/>
      <c r="BX25" s="17" t="s">
        <v>91</v>
      </c>
      <c r="BY25" s="17"/>
      <c r="BZ25" s="17" t="s">
        <v>181</v>
      </c>
      <c r="CA25" s="17" t="s">
        <v>288</v>
      </c>
      <c r="CB25" s="17" t="s">
        <v>289</v>
      </c>
      <c r="CC25" s="17" t="s">
        <v>290</v>
      </c>
      <c r="CD25" s="17"/>
      <c r="CE25" s="17" t="s">
        <v>90</v>
      </c>
      <c r="CF25" s="17"/>
    </row>
    <row r="26" spans="1:84" ht="15" x14ac:dyDescent="0.2">
      <c r="A26" s="17" t="s">
        <v>127</v>
      </c>
      <c r="B26" s="18">
        <v>48188718</v>
      </c>
      <c r="C26" s="19">
        <v>45409.852777777778</v>
      </c>
      <c r="D26" s="17" t="s">
        <v>291</v>
      </c>
      <c r="E26" s="17" t="s">
        <v>129</v>
      </c>
      <c r="F26" s="17"/>
      <c r="G26" s="20">
        <v>575</v>
      </c>
      <c r="H26" s="20">
        <v>1201.18</v>
      </c>
      <c r="I26" s="20">
        <v>51.18</v>
      </c>
      <c r="J26" s="17" t="s">
        <v>84</v>
      </c>
      <c r="K26" s="21">
        <v>31491</v>
      </c>
      <c r="L26" s="18">
        <v>38</v>
      </c>
      <c r="M26" s="17" t="s">
        <v>292</v>
      </c>
      <c r="N26" s="17" t="s">
        <v>293</v>
      </c>
      <c r="O26" s="18">
        <v>55109</v>
      </c>
      <c r="P26" s="17" t="s">
        <v>86</v>
      </c>
      <c r="Q26" s="17" t="s">
        <v>87</v>
      </c>
      <c r="R26" s="17" t="s">
        <v>101</v>
      </c>
      <c r="S26" s="17" t="s">
        <v>93</v>
      </c>
      <c r="T26" s="17"/>
      <c r="U26" s="17" t="s">
        <v>192</v>
      </c>
      <c r="V26" s="22"/>
      <c r="W26" s="17"/>
      <c r="X26" s="17" t="s">
        <v>294</v>
      </c>
      <c r="Y26" s="17" t="s">
        <v>102</v>
      </c>
      <c r="Z26" s="22"/>
      <c r="AA26" s="17"/>
      <c r="AB26" s="17"/>
      <c r="AC26" s="17" t="s">
        <v>90</v>
      </c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 t="s">
        <v>90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 t="s">
        <v>90</v>
      </c>
      <c r="BT26" s="17"/>
      <c r="BU26" s="17"/>
      <c r="BV26" s="17"/>
      <c r="BW26" s="17"/>
      <c r="BX26" s="17" t="s">
        <v>91</v>
      </c>
      <c r="BY26" s="17"/>
      <c r="BZ26" s="17" t="s">
        <v>91</v>
      </c>
      <c r="CA26" s="17" t="s">
        <v>295</v>
      </c>
      <c r="CB26" s="17" t="s">
        <v>296</v>
      </c>
      <c r="CC26" s="17" t="s">
        <v>297</v>
      </c>
      <c r="CD26" s="22"/>
      <c r="CE26" s="17" t="s">
        <v>90</v>
      </c>
      <c r="CF26" s="17"/>
    </row>
    <row r="27" spans="1:84" ht="15" x14ac:dyDescent="0.2">
      <c r="A27" s="17" t="s">
        <v>127</v>
      </c>
      <c r="B27" s="18">
        <v>46947967</v>
      </c>
      <c r="C27" s="19">
        <v>45410.866666666669</v>
      </c>
      <c r="D27" s="17" t="s">
        <v>298</v>
      </c>
      <c r="E27" s="17" t="s">
        <v>129</v>
      </c>
      <c r="F27" s="17" t="s">
        <v>110</v>
      </c>
      <c r="G27" s="20">
        <v>575</v>
      </c>
      <c r="H27" s="20">
        <v>0</v>
      </c>
      <c r="I27" s="20">
        <v>0</v>
      </c>
      <c r="J27" s="17" t="s">
        <v>96</v>
      </c>
      <c r="K27" s="26">
        <v>35103</v>
      </c>
      <c r="L27" s="18">
        <v>28</v>
      </c>
      <c r="M27" s="17" t="s">
        <v>299</v>
      </c>
      <c r="N27" s="17" t="s">
        <v>114</v>
      </c>
      <c r="O27" s="18">
        <v>60516</v>
      </c>
      <c r="P27" s="17" t="s">
        <v>86</v>
      </c>
      <c r="Q27" s="17" t="s">
        <v>87</v>
      </c>
      <c r="R27" s="17" t="s">
        <v>101</v>
      </c>
      <c r="S27" s="17" t="s">
        <v>93</v>
      </c>
      <c r="T27" s="17"/>
      <c r="U27" s="17" t="s">
        <v>192</v>
      </c>
      <c r="V27" s="22"/>
      <c r="W27" s="17"/>
      <c r="X27" s="17"/>
      <c r="Y27" s="17" t="s">
        <v>100</v>
      </c>
      <c r="Z27" s="22"/>
      <c r="AA27" s="17" t="s">
        <v>90</v>
      </c>
      <c r="AB27" s="17" t="s">
        <v>90</v>
      </c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90</v>
      </c>
      <c r="AU27" s="17" t="s">
        <v>90</v>
      </c>
      <c r="AV27" s="17" t="s">
        <v>90</v>
      </c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 t="s">
        <v>90</v>
      </c>
      <c r="BR27" s="17" t="s">
        <v>90</v>
      </c>
      <c r="BS27" s="17"/>
      <c r="BT27" s="17" t="s">
        <v>300</v>
      </c>
      <c r="BU27" s="17"/>
      <c r="BV27" s="17"/>
      <c r="BW27" s="17"/>
      <c r="BX27" s="17" t="s">
        <v>91</v>
      </c>
      <c r="BY27" s="17"/>
      <c r="BZ27" s="17" t="s">
        <v>135</v>
      </c>
      <c r="CA27" s="17" t="s">
        <v>117</v>
      </c>
      <c r="CB27" s="17" t="s">
        <v>301</v>
      </c>
      <c r="CC27" s="17" t="s">
        <v>302</v>
      </c>
      <c r="CD27" s="17" t="s">
        <v>303</v>
      </c>
      <c r="CE27" s="17" t="s">
        <v>90</v>
      </c>
      <c r="CF27" s="17"/>
    </row>
    <row r="28" spans="1:84" ht="15" x14ac:dyDescent="0.2">
      <c r="A28" s="17" t="s">
        <v>127</v>
      </c>
      <c r="B28" s="18">
        <v>48225962</v>
      </c>
      <c r="C28" s="19">
        <v>45411.465277777781</v>
      </c>
      <c r="D28" s="17" t="s">
        <v>304</v>
      </c>
      <c r="E28" s="17" t="s">
        <v>129</v>
      </c>
      <c r="F28" s="17"/>
      <c r="G28" s="20">
        <v>575</v>
      </c>
      <c r="H28" s="20">
        <v>600.59</v>
      </c>
      <c r="I28" s="20">
        <v>25.59</v>
      </c>
      <c r="J28" s="17" t="s">
        <v>96</v>
      </c>
      <c r="K28" s="21">
        <v>34478</v>
      </c>
      <c r="L28" s="18">
        <v>29</v>
      </c>
      <c r="M28" s="17" t="s">
        <v>305</v>
      </c>
      <c r="N28" s="17" t="s">
        <v>306</v>
      </c>
      <c r="O28" s="18">
        <v>20878</v>
      </c>
      <c r="P28" s="17" t="s">
        <v>86</v>
      </c>
      <c r="Q28" s="17" t="s">
        <v>87</v>
      </c>
      <c r="R28" s="17" t="s">
        <v>101</v>
      </c>
      <c r="S28" s="17" t="s">
        <v>307</v>
      </c>
      <c r="T28" s="17" t="s">
        <v>308</v>
      </c>
      <c r="U28" s="17" t="s">
        <v>147</v>
      </c>
      <c r="V28" s="22"/>
      <c r="W28" s="17"/>
      <c r="X28" s="17"/>
      <c r="Y28" s="17" t="s">
        <v>100</v>
      </c>
      <c r="Z28" s="22"/>
      <c r="AA28" s="17" t="s">
        <v>90</v>
      </c>
      <c r="AB28" s="17" t="s">
        <v>90</v>
      </c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 t="s">
        <v>90</v>
      </c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 t="s">
        <v>90</v>
      </c>
      <c r="BT28" s="17"/>
      <c r="BU28" s="17"/>
      <c r="BV28" s="17"/>
      <c r="BW28" s="17"/>
      <c r="BX28" s="17" t="s">
        <v>91</v>
      </c>
      <c r="BY28" s="17"/>
      <c r="BZ28" s="17" t="s">
        <v>135</v>
      </c>
      <c r="CA28" s="17" t="s">
        <v>309</v>
      </c>
      <c r="CB28" s="17" t="s">
        <v>310</v>
      </c>
      <c r="CC28" s="17" t="s">
        <v>311</v>
      </c>
      <c r="CD28" s="17" t="s">
        <v>312</v>
      </c>
      <c r="CE28" s="17" t="s">
        <v>90</v>
      </c>
      <c r="CF28" s="17"/>
    </row>
    <row r="29" spans="1:84" ht="15" x14ac:dyDescent="0.2">
      <c r="A29" s="17" t="s">
        <v>127</v>
      </c>
      <c r="B29" s="18">
        <v>46920620</v>
      </c>
      <c r="C29" s="19">
        <v>45411.568749999999</v>
      </c>
      <c r="D29" s="17" t="s">
        <v>313</v>
      </c>
      <c r="E29" s="17" t="s">
        <v>129</v>
      </c>
      <c r="F29" s="17" t="s">
        <v>110</v>
      </c>
      <c r="G29" s="20">
        <v>575</v>
      </c>
      <c r="H29" s="20">
        <v>0</v>
      </c>
      <c r="I29" s="20">
        <v>0</v>
      </c>
      <c r="J29" s="17" t="s">
        <v>96</v>
      </c>
      <c r="K29" s="21">
        <v>31883</v>
      </c>
      <c r="L29" s="18">
        <v>36</v>
      </c>
      <c r="M29" s="17" t="s">
        <v>130</v>
      </c>
      <c r="N29" s="17" t="s">
        <v>114</v>
      </c>
      <c r="O29" s="18">
        <v>60625</v>
      </c>
      <c r="P29" s="17" t="s">
        <v>86</v>
      </c>
      <c r="Q29" s="17" t="s">
        <v>87</v>
      </c>
      <c r="R29" s="17" t="s">
        <v>92</v>
      </c>
      <c r="S29" s="17" t="s">
        <v>93</v>
      </c>
      <c r="T29" s="17"/>
      <c r="U29" s="17" t="s">
        <v>147</v>
      </c>
      <c r="V29" s="22"/>
      <c r="W29" s="17"/>
      <c r="X29" s="17" t="s">
        <v>314</v>
      </c>
      <c r="Y29" s="17" t="s">
        <v>99</v>
      </c>
      <c r="Z29" s="17"/>
      <c r="AA29" s="17" t="s">
        <v>90</v>
      </c>
      <c r="AB29" s="17" t="s">
        <v>90</v>
      </c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90</v>
      </c>
      <c r="AS29" s="17" t="s">
        <v>90</v>
      </c>
      <c r="AT29" s="17" t="s">
        <v>90</v>
      </c>
      <c r="AU29" s="17" t="s">
        <v>90</v>
      </c>
      <c r="AV29" s="17" t="s">
        <v>90</v>
      </c>
      <c r="AW29" s="17" t="s">
        <v>90</v>
      </c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 t="s">
        <v>90</v>
      </c>
      <c r="BR29" s="17"/>
      <c r="BS29" s="17"/>
      <c r="BT29" s="17" t="s">
        <v>315</v>
      </c>
      <c r="BU29" s="17"/>
      <c r="BV29" s="17"/>
      <c r="BW29" s="17"/>
      <c r="BX29" s="17" t="s">
        <v>91</v>
      </c>
      <c r="BY29" s="17"/>
      <c r="BZ29" s="17" t="s">
        <v>135</v>
      </c>
      <c r="CA29" s="17" t="s">
        <v>316</v>
      </c>
      <c r="CB29" s="17" t="s">
        <v>317</v>
      </c>
      <c r="CC29" s="17" t="s">
        <v>318</v>
      </c>
      <c r="CD29" s="22"/>
      <c r="CE29" s="17" t="s">
        <v>90</v>
      </c>
      <c r="CF29" s="17"/>
    </row>
    <row r="30" spans="1:84" ht="15" x14ac:dyDescent="0.2">
      <c r="A30" s="17" t="s">
        <v>127</v>
      </c>
      <c r="B30" s="18">
        <v>48192678</v>
      </c>
      <c r="C30" s="19">
        <v>45411.616666666669</v>
      </c>
      <c r="D30" s="17" t="s">
        <v>319</v>
      </c>
      <c r="E30" s="17" t="s">
        <v>129</v>
      </c>
      <c r="F30" s="17"/>
      <c r="G30" s="20">
        <v>575</v>
      </c>
      <c r="H30" s="20">
        <v>602.29999999999995</v>
      </c>
      <c r="I30" s="20">
        <v>27.3</v>
      </c>
      <c r="J30" s="17" t="s">
        <v>84</v>
      </c>
      <c r="K30" s="21">
        <v>36331</v>
      </c>
      <c r="L30" s="18">
        <v>25</v>
      </c>
      <c r="M30" s="17" t="s">
        <v>320</v>
      </c>
      <c r="N30" s="17" t="s">
        <v>321</v>
      </c>
      <c r="O30" s="18">
        <v>48336</v>
      </c>
      <c r="P30" s="17" t="s">
        <v>86</v>
      </c>
      <c r="Q30" s="17" t="s">
        <v>87</v>
      </c>
      <c r="R30" s="17" t="s">
        <v>101</v>
      </c>
      <c r="S30" s="17" t="s">
        <v>322</v>
      </c>
      <c r="T30" s="17" t="s">
        <v>323</v>
      </c>
      <c r="U30" s="17" t="s">
        <v>192</v>
      </c>
      <c r="V30" s="22"/>
      <c r="W30" s="17"/>
      <c r="X30" s="17"/>
      <c r="Y30" s="17" t="s">
        <v>99</v>
      </c>
      <c r="Z30" s="17"/>
      <c r="AA30" s="17"/>
      <c r="AB30" s="17"/>
      <c r="AC30" s="17" t="s">
        <v>90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 t="s">
        <v>90</v>
      </c>
      <c r="BK30" s="17"/>
      <c r="BL30" s="17"/>
      <c r="BM30" s="17"/>
      <c r="BN30" s="17"/>
      <c r="BO30" s="17"/>
      <c r="BP30" s="17"/>
      <c r="BQ30" s="17"/>
      <c r="BR30" s="17" t="s">
        <v>90</v>
      </c>
      <c r="BS30" s="17"/>
      <c r="BT30" s="17" t="s">
        <v>324</v>
      </c>
      <c r="BU30" s="17"/>
      <c r="BV30" s="17"/>
      <c r="BW30" s="17"/>
      <c r="BX30" s="17" t="s">
        <v>91</v>
      </c>
      <c r="BY30" s="17"/>
      <c r="BZ30" s="17" t="s">
        <v>181</v>
      </c>
      <c r="CA30" s="17" t="s">
        <v>325</v>
      </c>
      <c r="CB30" s="17" t="s">
        <v>326</v>
      </c>
      <c r="CC30" s="17" t="s">
        <v>327</v>
      </c>
      <c r="CD30" s="17"/>
      <c r="CE30" s="17" t="s">
        <v>90</v>
      </c>
      <c r="CF30" s="17"/>
    </row>
    <row r="31" spans="1:84" ht="15" x14ac:dyDescent="0.2">
      <c r="A31" s="17" t="s">
        <v>127</v>
      </c>
      <c r="B31" s="18">
        <v>48222350</v>
      </c>
      <c r="C31" s="19">
        <v>45411.707638888889</v>
      </c>
      <c r="D31" s="17" t="s">
        <v>124</v>
      </c>
      <c r="E31" s="17" t="s">
        <v>129</v>
      </c>
      <c r="F31" s="17" t="s">
        <v>154</v>
      </c>
      <c r="G31" s="20">
        <v>555</v>
      </c>
      <c r="H31" s="20">
        <v>579.89</v>
      </c>
      <c r="I31" s="20">
        <v>24.89</v>
      </c>
      <c r="J31" s="17" t="s">
        <v>96</v>
      </c>
      <c r="K31" s="21">
        <v>34914</v>
      </c>
      <c r="L31" s="18">
        <v>28</v>
      </c>
      <c r="M31" s="17" t="s">
        <v>328</v>
      </c>
      <c r="N31" s="17" t="s">
        <v>123</v>
      </c>
      <c r="O31" s="18">
        <v>7042</v>
      </c>
      <c r="P31" s="17" t="s">
        <v>86</v>
      </c>
      <c r="Q31" s="17" t="s">
        <v>87</v>
      </c>
      <c r="R31" s="17" t="s">
        <v>88</v>
      </c>
      <c r="S31" s="17" t="s">
        <v>93</v>
      </c>
      <c r="T31" s="17"/>
      <c r="U31" s="17" t="s">
        <v>147</v>
      </c>
      <c r="V31" s="22"/>
      <c r="W31" s="17"/>
      <c r="X31" s="17" t="s">
        <v>329</v>
      </c>
      <c r="Y31" s="17" t="s">
        <v>102</v>
      </c>
      <c r="Z31" s="22"/>
      <c r="AA31" s="17" t="s">
        <v>90</v>
      </c>
      <c r="AB31" s="17" t="s">
        <v>90</v>
      </c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 t="s">
        <v>90</v>
      </c>
      <c r="AU31" s="17" t="s">
        <v>90</v>
      </c>
      <c r="AV31" s="17" t="s">
        <v>90</v>
      </c>
      <c r="AW31" s="17" t="s">
        <v>90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 t="s">
        <v>90</v>
      </c>
      <c r="BR31" s="17" t="s">
        <v>90</v>
      </c>
      <c r="BS31" s="17"/>
      <c r="BT31" s="17" t="s">
        <v>330</v>
      </c>
      <c r="BU31" s="22"/>
      <c r="BV31" s="22"/>
      <c r="BW31" s="22"/>
      <c r="BX31" s="17" t="s">
        <v>91</v>
      </c>
      <c r="BY31" s="17"/>
      <c r="BZ31" s="17" t="s">
        <v>135</v>
      </c>
      <c r="CA31" s="17" t="s">
        <v>331</v>
      </c>
      <c r="CB31" s="22"/>
      <c r="CC31" s="17" t="s">
        <v>125</v>
      </c>
      <c r="CD31" s="17"/>
      <c r="CE31" s="17" t="s">
        <v>90</v>
      </c>
      <c r="CF31" s="17"/>
    </row>
    <row r="32" spans="1:84" ht="15" x14ac:dyDescent="0.2">
      <c r="A32" s="17" t="s">
        <v>127</v>
      </c>
      <c r="B32" s="18">
        <v>48170157</v>
      </c>
      <c r="C32" s="19">
        <v>45411.707638888889</v>
      </c>
      <c r="D32" s="17" t="s">
        <v>332</v>
      </c>
      <c r="E32" s="17" t="s">
        <v>129</v>
      </c>
      <c r="F32" s="17" t="s">
        <v>333</v>
      </c>
      <c r="G32" s="20">
        <v>575</v>
      </c>
      <c r="H32" s="20">
        <v>158.57</v>
      </c>
      <c r="I32" s="20">
        <v>8.57</v>
      </c>
      <c r="J32" s="17" t="s">
        <v>84</v>
      </c>
      <c r="K32" s="21">
        <v>35027</v>
      </c>
      <c r="L32" s="18">
        <v>28</v>
      </c>
      <c r="M32" s="17" t="s">
        <v>130</v>
      </c>
      <c r="N32" s="17" t="s">
        <v>114</v>
      </c>
      <c r="O32" s="18">
        <v>60657</v>
      </c>
      <c r="P32" s="17" t="s">
        <v>86</v>
      </c>
      <c r="Q32" s="17" t="s">
        <v>87</v>
      </c>
      <c r="R32" s="17" t="s">
        <v>101</v>
      </c>
      <c r="S32" s="17" t="s">
        <v>98</v>
      </c>
      <c r="T32" s="17" t="s">
        <v>334</v>
      </c>
      <c r="U32" s="17" t="s">
        <v>192</v>
      </c>
      <c r="V32" s="22"/>
      <c r="W32" s="17"/>
      <c r="X32" s="17" t="s">
        <v>335</v>
      </c>
      <c r="Y32" s="17" t="s">
        <v>99</v>
      </c>
      <c r="Z32" s="17"/>
      <c r="AA32" s="17" t="s">
        <v>90</v>
      </c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90</v>
      </c>
      <c r="AV32" s="17"/>
      <c r="AW32" s="17" t="s">
        <v>90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 t="s">
        <v>90</v>
      </c>
      <c r="BR32" s="17"/>
      <c r="BS32" s="17"/>
      <c r="BT32" s="17" t="s">
        <v>336</v>
      </c>
      <c r="BU32" s="22"/>
      <c r="BV32" s="22"/>
      <c r="BW32" s="17"/>
      <c r="BX32" s="17" t="s">
        <v>91</v>
      </c>
      <c r="BY32" s="17"/>
      <c r="BZ32" s="17" t="s">
        <v>181</v>
      </c>
      <c r="CA32" s="17" t="s">
        <v>337</v>
      </c>
      <c r="CB32" s="17" t="s">
        <v>338</v>
      </c>
      <c r="CC32" s="17" t="s">
        <v>339</v>
      </c>
      <c r="CD32" s="17"/>
      <c r="CE32" s="17" t="s">
        <v>90</v>
      </c>
      <c r="CF32" s="17"/>
    </row>
    <row r="33" spans="1:84" ht="15" x14ac:dyDescent="0.2">
      <c r="A33" s="17" t="s">
        <v>127</v>
      </c>
      <c r="B33" s="18">
        <v>47970039</v>
      </c>
      <c r="C33" s="19">
        <v>45411.793749999997</v>
      </c>
      <c r="D33" s="17" t="s">
        <v>340</v>
      </c>
      <c r="E33" s="17" t="s">
        <v>129</v>
      </c>
      <c r="F33" s="17"/>
      <c r="G33" s="20">
        <v>575</v>
      </c>
      <c r="H33" s="20">
        <v>600.59</v>
      </c>
      <c r="I33" s="20">
        <v>25.59</v>
      </c>
      <c r="J33" s="17" t="s">
        <v>96</v>
      </c>
      <c r="K33" s="21">
        <v>34502</v>
      </c>
      <c r="L33" s="18">
        <v>29</v>
      </c>
      <c r="M33" s="17" t="s">
        <v>130</v>
      </c>
      <c r="N33" s="17" t="s">
        <v>114</v>
      </c>
      <c r="O33" s="18">
        <v>60620</v>
      </c>
      <c r="P33" s="17" t="s">
        <v>86</v>
      </c>
      <c r="Q33" s="17" t="s">
        <v>87</v>
      </c>
      <c r="R33" s="17" t="s">
        <v>88</v>
      </c>
      <c r="S33" s="17" t="s">
        <v>116</v>
      </c>
      <c r="T33" s="17"/>
      <c r="U33" s="17" t="s">
        <v>147</v>
      </c>
      <c r="V33" s="17"/>
      <c r="W33" s="17"/>
      <c r="X33" s="17" t="s">
        <v>341</v>
      </c>
      <c r="Y33" s="17" t="s">
        <v>99</v>
      </c>
      <c r="Z33" s="17"/>
      <c r="AA33" s="17"/>
      <c r="AB33" s="17"/>
      <c r="AC33" s="17" t="s">
        <v>90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 t="s">
        <v>90</v>
      </c>
      <c r="BJ33" s="17"/>
      <c r="BK33" s="17"/>
      <c r="BL33" s="17"/>
      <c r="BM33" s="17"/>
      <c r="BN33" s="17"/>
      <c r="BO33" s="17"/>
      <c r="BP33" s="17"/>
      <c r="BQ33" s="17"/>
      <c r="BR33" s="17" t="s">
        <v>90</v>
      </c>
      <c r="BS33" s="17"/>
      <c r="BT33" s="17" t="s">
        <v>342</v>
      </c>
      <c r="BU33" s="17" t="s">
        <v>341</v>
      </c>
      <c r="BV33" s="22"/>
      <c r="BW33" s="17"/>
      <c r="BX33" s="17" t="s">
        <v>91</v>
      </c>
      <c r="BY33" s="17"/>
      <c r="BZ33" s="17" t="s">
        <v>135</v>
      </c>
      <c r="CA33" s="17" t="s">
        <v>343</v>
      </c>
      <c r="CB33" s="17" t="s">
        <v>344</v>
      </c>
      <c r="CC33" s="17" t="s">
        <v>345</v>
      </c>
      <c r="CD33" s="22"/>
      <c r="CE33" s="17" t="s">
        <v>90</v>
      </c>
      <c r="CF33" s="17"/>
    </row>
    <row r="34" spans="1:84" ht="15" x14ac:dyDescent="0.2">
      <c r="A34" s="17" t="s">
        <v>127</v>
      </c>
      <c r="B34" s="18">
        <v>46923130</v>
      </c>
      <c r="C34" s="19">
        <v>45411.855555555558</v>
      </c>
      <c r="D34" s="17" t="s">
        <v>346</v>
      </c>
      <c r="E34" s="17" t="s">
        <v>129</v>
      </c>
      <c r="F34" s="17" t="s">
        <v>110</v>
      </c>
      <c r="G34" s="20">
        <v>575</v>
      </c>
      <c r="H34" s="20">
        <v>0</v>
      </c>
      <c r="I34" s="20">
        <v>0</v>
      </c>
      <c r="J34" s="17" t="s">
        <v>84</v>
      </c>
      <c r="K34" s="21">
        <v>34098</v>
      </c>
      <c r="L34" s="18">
        <v>31</v>
      </c>
      <c r="M34" s="17" t="s">
        <v>130</v>
      </c>
      <c r="N34" s="17" t="s">
        <v>114</v>
      </c>
      <c r="O34" s="18">
        <v>60647</v>
      </c>
      <c r="P34" s="17" t="s">
        <v>86</v>
      </c>
      <c r="Q34" s="17" t="s">
        <v>87</v>
      </c>
      <c r="R34" s="17" t="s">
        <v>88</v>
      </c>
      <c r="S34" s="17" t="s">
        <v>93</v>
      </c>
      <c r="T34" s="17"/>
      <c r="U34" s="17" t="s">
        <v>192</v>
      </c>
      <c r="V34" s="22"/>
      <c r="W34" s="17"/>
      <c r="X34" s="17"/>
      <c r="Y34" s="17" t="s">
        <v>99</v>
      </c>
      <c r="Z34" s="17"/>
      <c r="AA34" s="17" t="s">
        <v>90</v>
      </c>
      <c r="AB34" s="17" t="s">
        <v>90</v>
      </c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 t="s">
        <v>90</v>
      </c>
      <c r="AO34" s="17" t="s">
        <v>90</v>
      </c>
      <c r="AP34" s="17" t="s">
        <v>90</v>
      </c>
      <c r="AQ34" s="17"/>
      <c r="AR34" s="17" t="s">
        <v>90</v>
      </c>
      <c r="AS34" s="17" t="s">
        <v>90</v>
      </c>
      <c r="AT34" s="17" t="s">
        <v>90</v>
      </c>
      <c r="AU34" s="17" t="s">
        <v>90</v>
      </c>
      <c r="AV34" s="17" t="s">
        <v>90</v>
      </c>
      <c r="AW34" s="17" t="s">
        <v>90</v>
      </c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 t="s">
        <v>90</v>
      </c>
      <c r="BT34" s="17"/>
      <c r="BU34" s="17"/>
      <c r="BV34" s="17"/>
      <c r="BW34" s="17"/>
      <c r="BX34" s="17" t="s">
        <v>91</v>
      </c>
      <c r="BY34" s="17"/>
      <c r="BZ34" s="17" t="s">
        <v>135</v>
      </c>
      <c r="CA34" s="17" t="s">
        <v>347</v>
      </c>
      <c r="CB34" s="17" t="s">
        <v>348</v>
      </c>
      <c r="CC34" s="17" t="s">
        <v>349</v>
      </c>
      <c r="CD34" s="17"/>
      <c r="CE34" s="17" t="s">
        <v>90</v>
      </c>
      <c r="CF34" s="17"/>
    </row>
    <row r="35" spans="1:84" ht="15" x14ac:dyDescent="0.2">
      <c r="A35" s="17" t="s">
        <v>127</v>
      </c>
      <c r="B35" s="18">
        <v>48106880</v>
      </c>
      <c r="C35" s="19">
        <v>45411.981249999997</v>
      </c>
      <c r="D35" s="17" t="s">
        <v>350</v>
      </c>
      <c r="E35" s="17" t="s">
        <v>129</v>
      </c>
      <c r="F35" s="17" t="s">
        <v>154</v>
      </c>
      <c r="G35" s="20">
        <v>555</v>
      </c>
      <c r="H35" s="20">
        <v>581.54</v>
      </c>
      <c r="I35" s="20">
        <v>26.54</v>
      </c>
      <c r="J35" s="17" t="s">
        <v>96</v>
      </c>
      <c r="K35" s="21">
        <v>34331</v>
      </c>
      <c r="L35" s="18">
        <v>30</v>
      </c>
      <c r="M35" s="17" t="s">
        <v>232</v>
      </c>
      <c r="N35" s="17" t="s">
        <v>162</v>
      </c>
      <c r="O35" s="18">
        <v>53213</v>
      </c>
      <c r="P35" s="17" t="s">
        <v>86</v>
      </c>
      <c r="Q35" s="17" t="s">
        <v>87</v>
      </c>
      <c r="R35" s="17" t="s">
        <v>97</v>
      </c>
      <c r="S35" s="17" t="s">
        <v>98</v>
      </c>
      <c r="T35" s="17" t="s">
        <v>351</v>
      </c>
      <c r="U35" s="17" t="s">
        <v>147</v>
      </c>
      <c r="V35" s="22"/>
      <c r="W35" s="17"/>
      <c r="X35" s="17" t="s">
        <v>352</v>
      </c>
      <c r="Y35" s="17" t="s">
        <v>100</v>
      </c>
      <c r="Z35" s="22"/>
      <c r="AA35" s="17" t="s">
        <v>90</v>
      </c>
      <c r="AB35" s="17" t="s">
        <v>90</v>
      </c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 t="s">
        <v>90</v>
      </c>
      <c r="AU35" s="17"/>
      <c r="AV35" s="17" t="s">
        <v>90</v>
      </c>
      <c r="AW35" s="17" t="s">
        <v>90</v>
      </c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 t="s">
        <v>90</v>
      </c>
      <c r="BR35" s="17" t="s">
        <v>90</v>
      </c>
      <c r="BS35" s="17"/>
      <c r="BT35" s="17" t="s">
        <v>353</v>
      </c>
      <c r="BU35" s="22"/>
      <c r="BV35" s="22"/>
      <c r="BW35" s="22"/>
      <c r="BX35" s="17" t="s">
        <v>91</v>
      </c>
      <c r="BY35" s="17"/>
      <c r="BZ35" s="17" t="s">
        <v>135</v>
      </c>
      <c r="CA35" s="17" t="s">
        <v>354</v>
      </c>
      <c r="CB35" s="17" t="s">
        <v>355</v>
      </c>
      <c r="CC35" s="17" t="s">
        <v>356</v>
      </c>
      <c r="CD35" s="17" t="s">
        <v>357</v>
      </c>
      <c r="CE35" s="17" t="s">
        <v>90</v>
      </c>
      <c r="CF35" s="17"/>
    </row>
    <row r="36" spans="1:84" ht="15" x14ac:dyDescent="0.2">
      <c r="A36" s="17" t="s">
        <v>127</v>
      </c>
      <c r="B36" s="18">
        <v>48177976</v>
      </c>
      <c r="C36" s="19">
        <v>45412.334722222222</v>
      </c>
      <c r="D36" s="17" t="s">
        <v>358</v>
      </c>
      <c r="E36" s="17" t="s">
        <v>129</v>
      </c>
      <c r="F36" s="17"/>
      <c r="G36" s="20">
        <v>575</v>
      </c>
      <c r="H36" s="20">
        <v>602.29999999999995</v>
      </c>
      <c r="I36" s="20">
        <v>27.3</v>
      </c>
      <c r="J36" s="17" t="s">
        <v>84</v>
      </c>
      <c r="K36" s="21">
        <v>29343</v>
      </c>
      <c r="L36" s="18">
        <v>43</v>
      </c>
      <c r="M36" s="17" t="s">
        <v>130</v>
      </c>
      <c r="N36" s="17" t="s">
        <v>114</v>
      </c>
      <c r="O36" s="18">
        <v>60651</v>
      </c>
      <c r="P36" s="17" t="s">
        <v>86</v>
      </c>
      <c r="Q36" s="17" t="s">
        <v>87</v>
      </c>
      <c r="R36" s="17" t="s">
        <v>97</v>
      </c>
      <c r="S36" s="17" t="s">
        <v>93</v>
      </c>
      <c r="T36" s="17"/>
      <c r="U36" s="17" t="s">
        <v>192</v>
      </c>
      <c r="V36" s="22"/>
      <c r="W36" s="17"/>
      <c r="X36" s="17" t="s">
        <v>359</v>
      </c>
      <c r="Y36" s="17" t="s">
        <v>99</v>
      </c>
      <c r="Z36" s="17"/>
      <c r="AA36" s="17"/>
      <c r="AB36" s="17"/>
      <c r="AC36" s="17" t="s">
        <v>90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 t="s">
        <v>90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 t="s">
        <v>90</v>
      </c>
      <c r="BT36" s="17"/>
      <c r="BU36" s="17" t="s">
        <v>359</v>
      </c>
      <c r="BV36" s="22"/>
      <c r="BW36" s="17"/>
      <c r="BX36" s="17" t="s">
        <v>91</v>
      </c>
      <c r="BY36" s="17"/>
      <c r="BZ36" s="17" t="s">
        <v>181</v>
      </c>
      <c r="CA36" s="17" t="s">
        <v>360</v>
      </c>
      <c r="CB36" s="17" t="s">
        <v>361</v>
      </c>
      <c r="CC36" s="17" t="s">
        <v>113</v>
      </c>
      <c r="CD36" s="17"/>
      <c r="CE36" s="17" t="s">
        <v>90</v>
      </c>
      <c r="CF36" s="17"/>
    </row>
    <row r="37" spans="1:84" ht="15" x14ac:dyDescent="0.2">
      <c r="A37" s="17" t="s">
        <v>127</v>
      </c>
      <c r="B37" s="18">
        <v>48175547</v>
      </c>
      <c r="C37" s="19">
        <v>45412.678472222222</v>
      </c>
      <c r="D37" s="17" t="s">
        <v>362</v>
      </c>
      <c r="E37" s="17" t="s">
        <v>129</v>
      </c>
      <c r="F37" s="17"/>
      <c r="G37" s="20">
        <v>575</v>
      </c>
      <c r="H37" s="20">
        <v>600.59</v>
      </c>
      <c r="I37" s="20">
        <v>25.59</v>
      </c>
      <c r="J37" s="17" t="s">
        <v>96</v>
      </c>
      <c r="K37" s="17" t="s">
        <v>363</v>
      </c>
      <c r="L37" s="18">
        <v>27</v>
      </c>
      <c r="M37" s="17" t="s">
        <v>364</v>
      </c>
      <c r="N37" s="17" t="s">
        <v>365</v>
      </c>
      <c r="O37" s="18">
        <v>2127</v>
      </c>
      <c r="P37" s="17" t="s">
        <v>86</v>
      </c>
      <c r="Q37" s="17" t="s">
        <v>87</v>
      </c>
      <c r="R37" s="17" t="s">
        <v>92</v>
      </c>
      <c r="S37" s="17" t="s">
        <v>366</v>
      </c>
      <c r="T37" s="22"/>
      <c r="U37" s="17" t="s">
        <v>192</v>
      </c>
      <c r="V37" s="22"/>
      <c r="W37" s="17"/>
      <c r="X37" s="17" t="s">
        <v>367</v>
      </c>
      <c r="Y37" s="17" t="s">
        <v>99</v>
      </c>
      <c r="Z37" s="17"/>
      <c r="AA37" s="17" t="s">
        <v>90</v>
      </c>
      <c r="AB37" s="17" t="s">
        <v>90</v>
      </c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 t="s">
        <v>90</v>
      </c>
      <c r="AQ37" s="17"/>
      <c r="AR37" s="17"/>
      <c r="AS37" s="17" t="s">
        <v>90</v>
      </c>
      <c r="AT37" s="17"/>
      <c r="AU37" s="17"/>
      <c r="AV37" s="17" t="s">
        <v>90</v>
      </c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 t="s">
        <v>90</v>
      </c>
      <c r="BS37" s="17"/>
      <c r="BT37" s="17" t="s">
        <v>126</v>
      </c>
      <c r="BU37" s="17"/>
      <c r="BV37" s="17"/>
      <c r="BW37" s="17"/>
      <c r="BX37" s="17" t="s">
        <v>91</v>
      </c>
      <c r="BY37" s="17"/>
      <c r="BZ37" s="17" t="s">
        <v>181</v>
      </c>
      <c r="CA37" s="17" t="s">
        <v>368</v>
      </c>
      <c r="CB37" s="17" t="s">
        <v>369</v>
      </c>
      <c r="CC37" s="17" t="s">
        <v>370</v>
      </c>
      <c r="CD37" s="17"/>
      <c r="CE37" s="17" t="s">
        <v>90</v>
      </c>
      <c r="CF37" s="17"/>
    </row>
    <row r="38" spans="1:84" ht="15" x14ac:dyDescent="0.2">
      <c r="A38" s="17" t="s">
        <v>127</v>
      </c>
      <c r="B38" s="18">
        <v>49576301</v>
      </c>
      <c r="C38" s="19">
        <v>45412.792361111111</v>
      </c>
      <c r="D38" s="17" t="s">
        <v>371</v>
      </c>
      <c r="E38" s="17" t="s">
        <v>372</v>
      </c>
      <c r="F38" s="17"/>
      <c r="G38" s="20">
        <v>725</v>
      </c>
      <c r="H38" s="20">
        <v>755.84</v>
      </c>
      <c r="I38" s="20">
        <v>30.84</v>
      </c>
      <c r="J38" s="17" t="s">
        <v>96</v>
      </c>
      <c r="K38" s="21">
        <v>31856</v>
      </c>
      <c r="L38" s="18">
        <v>37</v>
      </c>
      <c r="M38" s="17" t="s">
        <v>239</v>
      </c>
      <c r="N38" s="17" t="s">
        <v>240</v>
      </c>
      <c r="O38" s="18">
        <v>80112</v>
      </c>
      <c r="P38" s="17" t="s">
        <v>86</v>
      </c>
      <c r="Q38" s="17" t="s">
        <v>87</v>
      </c>
      <c r="R38" s="17" t="s">
        <v>101</v>
      </c>
      <c r="S38" s="17" t="s">
        <v>93</v>
      </c>
      <c r="T38" s="17"/>
      <c r="U38" s="17" t="s">
        <v>133</v>
      </c>
      <c r="V38" s="22"/>
      <c r="W38" s="17"/>
      <c r="X38" s="17" t="s">
        <v>373</v>
      </c>
      <c r="Y38" s="17" t="s">
        <v>99</v>
      </c>
      <c r="Z38" s="17"/>
      <c r="AA38" s="17" t="s">
        <v>90</v>
      </c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 t="s">
        <v>90</v>
      </c>
      <c r="AU38" s="17" t="s">
        <v>90</v>
      </c>
      <c r="AV38" s="17" t="s">
        <v>90</v>
      </c>
      <c r="AW38" s="17" t="s">
        <v>90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 t="s">
        <v>90</v>
      </c>
      <c r="BR38" s="17"/>
      <c r="BS38" s="17"/>
      <c r="BT38" s="17" t="s">
        <v>374</v>
      </c>
      <c r="BU38" s="22"/>
      <c r="BV38" s="17"/>
      <c r="BW38" s="17"/>
      <c r="BX38" s="17" t="s">
        <v>90</v>
      </c>
      <c r="BY38" s="17" t="s">
        <v>375</v>
      </c>
      <c r="BZ38" s="17" t="s">
        <v>181</v>
      </c>
      <c r="CA38" s="17" t="s">
        <v>376</v>
      </c>
      <c r="CB38" s="17" t="s">
        <v>377</v>
      </c>
      <c r="CC38" s="17" t="s">
        <v>378</v>
      </c>
      <c r="CD38" s="17" t="s">
        <v>379</v>
      </c>
      <c r="CE38" s="17" t="s">
        <v>90</v>
      </c>
      <c r="CF38" s="17"/>
    </row>
    <row r="39" spans="1:84" ht="15" x14ac:dyDescent="0.2">
      <c r="A39" s="17" t="s">
        <v>127</v>
      </c>
      <c r="B39" s="18">
        <v>48219113</v>
      </c>
      <c r="C39" s="19">
        <v>45412.856249999997</v>
      </c>
      <c r="D39" s="17" t="s">
        <v>380</v>
      </c>
      <c r="E39" s="17" t="s">
        <v>129</v>
      </c>
      <c r="F39" s="17"/>
      <c r="G39" s="20">
        <v>575</v>
      </c>
      <c r="H39" s="20">
        <v>602.29999999999995</v>
      </c>
      <c r="I39" s="20">
        <v>27.3</v>
      </c>
      <c r="J39" s="17" t="s">
        <v>96</v>
      </c>
      <c r="K39" s="21">
        <v>34585</v>
      </c>
      <c r="L39" s="18">
        <v>29</v>
      </c>
      <c r="M39" s="17" t="s">
        <v>130</v>
      </c>
      <c r="N39" s="17" t="s">
        <v>114</v>
      </c>
      <c r="O39" s="18">
        <v>60657</v>
      </c>
      <c r="P39" s="17" t="s">
        <v>86</v>
      </c>
      <c r="Q39" s="17" t="s">
        <v>87</v>
      </c>
      <c r="R39" s="17" t="s">
        <v>103</v>
      </c>
      <c r="S39" s="17" t="s">
        <v>93</v>
      </c>
      <c r="T39" s="17"/>
      <c r="U39" s="17" t="s">
        <v>147</v>
      </c>
      <c r="V39" s="22"/>
      <c r="W39" s="17"/>
      <c r="X39" s="17"/>
      <c r="Y39" s="17" t="s">
        <v>99</v>
      </c>
      <c r="Z39" s="17"/>
      <c r="AA39" s="17"/>
      <c r="AB39" s="17"/>
      <c r="AC39" s="17" t="s">
        <v>90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 t="s">
        <v>90</v>
      </c>
      <c r="BP39" s="17"/>
      <c r="BQ39" s="17" t="s">
        <v>90</v>
      </c>
      <c r="BR39" s="17" t="s">
        <v>90</v>
      </c>
      <c r="BS39" s="17"/>
      <c r="BT39" s="17" t="s">
        <v>381</v>
      </c>
      <c r="BU39" s="22"/>
      <c r="BV39" s="17" t="s">
        <v>382</v>
      </c>
      <c r="BW39" s="22"/>
      <c r="BX39" s="17" t="s">
        <v>91</v>
      </c>
      <c r="BY39" s="17"/>
      <c r="BZ39" s="17" t="s">
        <v>181</v>
      </c>
      <c r="CA39" s="17" t="s">
        <v>383</v>
      </c>
      <c r="CB39" s="17" t="s">
        <v>384</v>
      </c>
      <c r="CC39" s="17" t="s">
        <v>385</v>
      </c>
      <c r="CD39" s="17" t="s">
        <v>386</v>
      </c>
      <c r="CE39" s="17" t="s">
        <v>90</v>
      </c>
      <c r="CF39" s="17"/>
    </row>
    <row r="40" spans="1:84" ht="15" x14ac:dyDescent="0.2">
      <c r="A40" s="17" t="s">
        <v>127</v>
      </c>
      <c r="B40" s="18">
        <v>46905852</v>
      </c>
      <c r="C40" s="19">
        <v>45412.86041666667</v>
      </c>
      <c r="D40" s="17" t="s">
        <v>387</v>
      </c>
      <c r="E40" s="17" t="s">
        <v>129</v>
      </c>
      <c r="F40" s="17"/>
      <c r="G40" s="20">
        <v>575</v>
      </c>
      <c r="H40" s="20">
        <v>600.29</v>
      </c>
      <c r="I40" s="20">
        <v>25.3</v>
      </c>
      <c r="J40" s="17" t="s">
        <v>96</v>
      </c>
      <c r="K40" s="21">
        <v>34186</v>
      </c>
      <c r="L40" s="18">
        <v>30</v>
      </c>
      <c r="M40" s="17" t="s">
        <v>388</v>
      </c>
      <c r="N40" s="17" t="s">
        <v>389</v>
      </c>
      <c r="O40" s="18">
        <v>20009</v>
      </c>
      <c r="P40" s="17" t="s">
        <v>86</v>
      </c>
      <c r="Q40" s="17" t="s">
        <v>87</v>
      </c>
      <c r="R40" s="17" t="s">
        <v>103</v>
      </c>
      <c r="S40" s="17" t="s">
        <v>93</v>
      </c>
      <c r="T40" s="17"/>
      <c r="U40" s="17" t="s">
        <v>147</v>
      </c>
      <c r="V40" s="22"/>
      <c r="W40" s="17"/>
      <c r="X40" s="17" t="s">
        <v>390</v>
      </c>
      <c r="Y40" s="17" t="s">
        <v>94</v>
      </c>
      <c r="Z40" s="17"/>
      <c r="AA40" s="17" t="s">
        <v>90</v>
      </c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90</v>
      </c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 t="s">
        <v>90</v>
      </c>
      <c r="BR40" s="17" t="s">
        <v>90</v>
      </c>
      <c r="BS40" s="17"/>
      <c r="BT40" s="17" t="s">
        <v>391</v>
      </c>
      <c r="BU40" s="17"/>
      <c r="BV40" s="17"/>
      <c r="BW40" s="17"/>
      <c r="BX40" s="17" t="s">
        <v>91</v>
      </c>
      <c r="BY40" s="17"/>
      <c r="BZ40" s="17" t="s">
        <v>91</v>
      </c>
      <c r="CA40" s="17" t="s">
        <v>392</v>
      </c>
      <c r="CB40" s="17" t="s">
        <v>393</v>
      </c>
      <c r="CC40" s="17" t="s">
        <v>158</v>
      </c>
      <c r="CD40" s="17"/>
      <c r="CE40" s="17" t="s">
        <v>90</v>
      </c>
      <c r="CF40" s="17"/>
    </row>
    <row r="41" spans="1:84" ht="15" x14ac:dyDescent="0.2">
      <c r="A41" s="17" t="s">
        <v>127</v>
      </c>
      <c r="B41" s="18">
        <v>47367041</v>
      </c>
      <c r="C41" s="19">
        <v>45412.916666666664</v>
      </c>
      <c r="D41" s="17" t="s">
        <v>394</v>
      </c>
      <c r="E41" s="17" t="s">
        <v>129</v>
      </c>
      <c r="F41" s="17"/>
      <c r="G41" s="20">
        <v>575</v>
      </c>
      <c r="H41" s="20">
        <v>600.59</v>
      </c>
      <c r="I41" s="20">
        <v>25.59</v>
      </c>
      <c r="J41" s="17" t="s">
        <v>96</v>
      </c>
      <c r="K41" s="21">
        <v>29637</v>
      </c>
      <c r="L41" s="18">
        <v>43</v>
      </c>
      <c r="M41" s="17" t="s">
        <v>130</v>
      </c>
      <c r="N41" s="17" t="s">
        <v>114</v>
      </c>
      <c r="O41" s="18">
        <v>60614</v>
      </c>
      <c r="P41" s="17" t="s">
        <v>86</v>
      </c>
      <c r="Q41" s="17" t="s">
        <v>87</v>
      </c>
      <c r="R41" s="17" t="s">
        <v>88</v>
      </c>
      <c r="S41" s="17" t="s">
        <v>98</v>
      </c>
      <c r="T41" s="17" t="s">
        <v>395</v>
      </c>
      <c r="U41" s="17" t="s">
        <v>147</v>
      </c>
      <c r="V41" s="22"/>
      <c r="W41" s="17"/>
      <c r="X41" s="17" t="s">
        <v>396</v>
      </c>
      <c r="Y41" s="17" t="s">
        <v>99</v>
      </c>
      <c r="Z41" s="17"/>
      <c r="AA41" s="17"/>
      <c r="AB41" s="17"/>
      <c r="AC41" s="17" t="s">
        <v>90</v>
      </c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 t="s">
        <v>90</v>
      </c>
      <c r="BJ41" s="17"/>
      <c r="BK41" s="17"/>
      <c r="BL41" s="17"/>
      <c r="BM41" s="17" t="s">
        <v>90</v>
      </c>
      <c r="BN41" s="17"/>
      <c r="BO41" s="17"/>
      <c r="BP41" s="17"/>
      <c r="BQ41" s="17" t="s">
        <v>90</v>
      </c>
      <c r="BR41" s="17" t="s">
        <v>90</v>
      </c>
      <c r="BS41" s="17"/>
      <c r="BT41" s="17" t="s">
        <v>397</v>
      </c>
      <c r="BU41" s="17" t="s">
        <v>396</v>
      </c>
      <c r="BV41" s="22"/>
      <c r="BW41" s="17"/>
      <c r="BX41" s="17" t="s">
        <v>91</v>
      </c>
      <c r="BY41" s="17"/>
      <c r="BZ41" s="17" t="s">
        <v>135</v>
      </c>
      <c r="CA41" s="17" t="s">
        <v>398</v>
      </c>
      <c r="CB41" s="17" t="s">
        <v>399</v>
      </c>
      <c r="CC41" s="17" t="s">
        <v>400</v>
      </c>
      <c r="CD41" s="22"/>
      <c r="CE41" s="17" t="s">
        <v>90</v>
      </c>
      <c r="CF41" s="17"/>
    </row>
    <row r="42" spans="1:84" ht="15" x14ac:dyDescent="0.2">
      <c r="A42" s="17" t="s">
        <v>127</v>
      </c>
      <c r="B42" s="18">
        <v>48224776</v>
      </c>
      <c r="C42" s="19">
        <v>45412.95208333333</v>
      </c>
      <c r="D42" s="17" t="s">
        <v>401</v>
      </c>
      <c r="E42" s="17" t="s">
        <v>129</v>
      </c>
      <c r="F42" s="17"/>
      <c r="G42" s="20">
        <v>575</v>
      </c>
      <c r="H42" s="20">
        <v>602.29999999999995</v>
      </c>
      <c r="I42" s="20">
        <v>27.3</v>
      </c>
      <c r="J42" s="17" t="s">
        <v>96</v>
      </c>
      <c r="K42" s="21">
        <v>32229</v>
      </c>
      <c r="L42" s="18">
        <v>36</v>
      </c>
      <c r="M42" s="17" t="s">
        <v>402</v>
      </c>
      <c r="N42" s="17" t="s">
        <v>114</v>
      </c>
      <c r="O42" s="18">
        <v>60118</v>
      </c>
      <c r="P42" s="17" t="s">
        <v>86</v>
      </c>
      <c r="Q42" s="17" t="s">
        <v>87</v>
      </c>
      <c r="R42" s="17" t="s">
        <v>88</v>
      </c>
      <c r="S42" s="17" t="s">
        <v>403</v>
      </c>
      <c r="T42" s="17" t="s">
        <v>404</v>
      </c>
      <c r="U42" s="17" t="s">
        <v>147</v>
      </c>
      <c r="V42" s="22"/>
      <c r="W42" s="17"/>
      <c r="X42" s="17"/>
      <c r="Y42" s="17" t="s">
        <v>99</v>
      </c>
      <c r="Z42" s="17"/>
      <c r="AA42" s="17"/>
      <c r="AB42" s="17"/>
      <c r="AC42" s="17" t="s">
        <v>90</v>
      </c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 t="s">
        <v>90</v>
      </c>
      <c r="BO42" s="17"/>
      <c r="BP42" s="17"/>
      <c r="BQ42" s="17" t="s">
        <v>90</v>
      </c>
      <c r="BR42" s="17" t="s">
        <v>90</v>
      </c>
      <c r="BS42" s="17"/>
      <c r="BT42" s="17" t="s">
        <v>405</v>
      </c>
      <c r="BU42" s="22"/>
      <c r="BV42" s="17"/>
      <c r="BW42" s="17"/>
      <c r="BX42" s="17" t="s">
        <v>91</v>
      </c>
      <c r="BY42" s="17"/>
      <c r="BZ42" s="17" t="s">
        <v>91</v>
      </c>
      <c r="CA42" s="17" t="s">
        <v>406</v>
      </c>
      <c r="CB42" s="22"/>
      <c r="CC42" s="17" t="s">
        <v>407</v>
      </c>
      <c r="CD42" s="22"/>
      <c r="CE42" s="17" t="s">
        <v>90</v>
      </c>
      <c r="CF42" s="17"/>
    </row>
    <row r="43" spans="1:84" ht="15" x14ac:dyDescent="0.2">
      <c r="A43" s="17" t="s">
        <v>127</v>
      </c>
      <c r="B43" s="18">
        <v>48127351</v>
      </c>
      <c r="C43" s="19">
        <v>45412.975694444445</v>
      </c>
      <c r="D43" s="17" t="s">
        <v>408</v>
      </c>
      <c r="E43" s="17" t="s">
        <v>160</v>
      </c>
      <c r="F43" s="17"/>
      <c r="G43" s="20">
        <v>775</v>
      </c>
      <c r="H43" s="20">
        <v>1615.18</v>
      </c>
      <c r="I43" s="20">
        <v>65.180000000000007</v>
      </c>
      <c r="J43" s="17" t="s">
        <v>84</v>
      </c>
      <c r="K43" s="21">
        <v>33854</v>
      </c>
      <c r="L43" s="18">
        <v>31</v>
      </c>
      <c r="M43" s="17" t="s">
        <v>278</v>
      </c>
      <c r="N43" s="17" t="s">
        <v>114</v>
      </c>
      <c r="O43" s="18">
        <v>60201</v>
      </c>
      <c r="P43" s="17" t="s">
        <v>86</v>
      </c>
      <c r="Q43" s="17" t="s">
        <v>87</v>
      </c>
      <c r="R43" s="17" t="s">
        <v>97</v>
      </c>
      <c r="S43" s="17" t="s">
        <v>116</v>
      </c>
      <c r="T43" s="17"/>
      <c r="U43" s="17"/>
      <c r="V43" s="17" t="s">
        <v>90</v>
      </c>
      <c r="W43" s="17" t="s">
        <v>409</v>
      </c>
      <c r="X43" s="22"/>
      <c r="Y43" s="17" t="s">
        <v>99</v>
      </c>
      <c r="Z43" s="17"/>
      <c r="AA43" s="17"/>
      <c r="AB43" s="17"/>
      <c r="AC43" s="17" t="s">
        <v>90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 t="s">
        <v>90</v>
      </c>
      <c r="BN43" s="17"/>
      <c r="BO43" s="17"/>
      <c r="BP43" s="17"/>
      <c r="BQ43" s="17"/>
      <c r="BR43" s="17" t="s">
        <v>90</v>
      </c>
      <c r="BS43" s="17"/>
      <c r="BT43" s="17" t="s">
        <v>410</v>
      </c>
      <c r="BU43" s="22"/>
      <c r="BV43" s="17"/>
      <c r="BW43" s="17"/>
      <c r="BX43" s="17" t="s">
        <v>91</v>
      </c>
      <c r="BY43" s="17"/>
      <c r="BZ43" s="17" t="s">
        <v>135</v>
      </c>
      <c r="CA43" s="17" t="s">
        <v>411</v>
      </c>
      <c r="CB43" s="17" t="s">
        <v>412</v>
      </c>
      <c r="CC43" s="17" t="s">
        <v>413</v>
      </c>
      <c r="CD43" s="17" t="s">
        <v>118</v>
      </c>
      <c r="CE43" s="17" t="s">
        <v>90</v>
      </c>
      <c r="CF43" s="17"/>
    </row>
    <row r="44" spans="1:84" ht="15" x14ac:dyDescent="0.2">
      <c r="A44" s="17" t="s">
        <v>127</v>
      </c>
      <c r="B44" s="18">
        <v>48012153</v>
      </c>
      <c r="C44" s="19">
        <v>45415.93472222222</v>
      </c>
      <c r="D44" s="17" t="s">
        <v>414</v>
      </c>
      <c r="E44" s="17" t="s">
        <v>129</v>
      </c>
      <c r="F44" s="17"/>
      <c r="G44" s="20">
        <v>575</v>
      </c>
      <c r="H44" s="20">
        <v>602.29999999999995</v>
      </c>
      <c r="I44" s="20">
        <v>27.3</v>
      </c>
      <c r="J44" s="17" t="s">
        <v>178</v>
      </c>
      <c r="K44" s="21">
        <v>36747</v>
      </c>
      <c r="L44" s="18">
        <v>24</v>
      </c>
      <c r="M44" s="17" t="s">
        <v>415</v>
      </c>
      <c r="N44" s="17" t="s">
        <v>293</v>
      </c>
      <c r="O44" s="18">
        <v>55378</v>
      </c>
      <c r="P44" s="17" t="s">
        <v>86</v>
      </c>
      <c r="Q44" s="17" t="s">
        <v>87</v>
      </c>
      <c r="R44" s="17" t="s">
        <v>88</v>
      </c>
      <c r="S44" s="17" t="s">
        <v>93</v>
      </c>
      <c r="T44" s="17"/>
      <c r="U44" s="17" t="s">
        <v>192</v>
      </c>
      <c r="V44" s="17"/>
      <c r="W44" s="17"/>
      <c r="X44" s="17" t="s">
        <v>416</v>
      </c>
      <c r="Y44" s="17" t="s">
        <v>99</v>
      </c>
      <c r="Z44" s="17"/>
      <c r="AA44" s="17" t="s">
        <v>90</v>
      </c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 t="s">
        <v>90</v>
      </c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 t="s">
        <v>90</v>
      </c>
      <c r="BR44" s="17"/>
      <c r="BS44" s="17"/>
      <c r="BT44" s="17" t="s">
        <v>417</v>
      </c>
      <c r="BU44" s="17"/>
      <c r="BV44" s="17"/>
      <c r="BW44" s="17"/>
      <c r="BX44" s="17" t="s">
        <v>91</v>
      </c>
      <c r="BY44" s="17"/>
      <c r="BZ44" s="17" t="s">
        <v>91</v>
      </c>
      <c r="CA44" s="17" t="s">
        <v>418</v>
      </c>
      <c r="CB44" s="17" t="s">
        <v>419</v>
      </c>
      <c r="CC44" s="17" t="s">
        <v>420</v>
      </c>
      <c r="CD44" s="17" t="s">
        <v>421</v>
      </c>
      <c r="CE44" s="17" t="s">
        <v>90</v>
      </c>
      <c r="CF44" s="17"/>
    </row>
    <row r="45" spans="1:84" ht="15" x14ac:dyDescent="0.2">
      <c r="A45" s="17" t="s">
        <v>127</v>
      </c>
      <c r="B45" s="18">
        <v>46908763</v>
      </c>
      <c r="C45" s="19">
        <v>45415.94027777778</v>
      </c>
      <c r="D45" s="17" t="s">
        <v>422</v>
      </c>
      <c r="E45" s="17" t="s">
        <v>129</v>
      </c>
      <c r="F45" s="17" t="s">
        <v>110</v>
      </c>
      <c r="G45" s="20">
        <v>575</v>
      </c>
      <c r="H45" s="20">
        <v>0</v>
      </c>
      <c r="I45" s="20">
        <v>0</v>
      </c>
      <c r="J45" s="17" t="s">
        <v>84</v>
      </c>
      <c r="K45" s="21">
        <v>30680</v>
      </c>
      <c r="L45" s="18">
        <v>40</v>
      </c>
      <c r="M45" s="17" t="s">
        <v>423</v>
      </c>
      <c r="N45" s="17" t="s">
        <v>114</v>
      </c>
      <c r="O45" s="18">
        <v>60148</v>
      </c>
      <c r="P45" s="17" t="s">
        <v>86</v>
      </c>
      <c r="Q45" s="17" t="s">
        <v>87</v>
      </c>
      <c r="R45" s="17" t="s">
        <v>103</v>
      </c>
      <c r="S45" s="17" t="s">
        <v>93</v>
      </c>
      <c r="T45" s="17"/>
      <c r="U45" s="17" t="s">
        <v>192</v>
      </c>
      <c r="V45" s="22"/>
      <c r="W45" s="17"/>
      <c r="X45" s="17"/>
      <c r="Y45" s="17" t="s">
        <v>100</v>
      </c>
      <c r="Z45" s="22"/>
      <c r="AA45" s="17" t="s">
        <v>90</v>
      </c>
      <c r="AB45" s="17" t="s">
        <v>90</v>
      </c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90</v>
      </c>
      <c r="AU45" s="17" t="s">
        <v>90</v>
      </c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 t="s">
        <v>90</v>
      </c>
      <c r="BR45" s="17"/>
      <c r="BS45" s="17"/>
      <c r="BT45" s="17" t="s">
        <v>424</v>
      </c>
      <c r="BU45" s="17"/>
      <c r="BV45" s="17"/>
      <c r="BW45" s="17"/>
      <c r="BX45" s="17" t="s">
        <v>91</v>
      </c>
      <c r="BY45" s="17"/>
      <c r="BZ45" s="17" t="s">
        <v>135</v>
      </c>
      <c r="CA45" s="17" t="s">
        <v>425</v>
      </c>
      <c r="CB45" s="17" t="s">
        <v>426</v>
      </c>
      <c r="CC45" s="17" t="s">
        <v>427</v>
      </c>
      <c r="CD45" s="22"/>
      <c r="CE45" s="17" t="s">
        <v>90</v>
      </c>
      <c r="CF45" s="17"/>
    </row>
    <row r="46" spans="1:84" ht="15" x14ac:dyDescent="0.2">
      <c r="A46" s="17" t="s">
        <v>127</v>
      </c>
      <c r="B46" s="18">
        <v>47948610</v>
      </c>
      <c r="C46" s="19">
        <v>45457.924305555556</v>
      </c>
      <c r="D46" s="17" t="s">
        <v>428</v>
      </c>
      <c r="E46" s="17" t="s">
        <v>129</v>
      </c>
      <c r="F46" s="17"/>
      <c r="G46" s="20">
        <v>575</v>
      </c>
      <c r="H46" s="20">
        <v>602.29999999999995</v>
      </c>
      <c r="I46" s="20">
        <v>27.3</v>
      </c>
      <c r="J46" s="17" t="s">
        <v>96</v>
      </c>
      <c r="K46" s="21">
        <v>33974</v>
      </c>
      <c r="L46" s="18">
        <v>31</v>
      </c>
      <c r="M46" s="17" t="s">
        <v>429</v>
      </c>
      <c r="N46" s="17" t="s">
        <v>114</v>
      </c>
      <c r="O46" s="18">
        <v>60015</v>
      </c>
      <c r="P46" s="17" t="s">
        <v>86</v>
      </c>
      <c r="Q46" s="17" t="s">
        <v>87</v>
      </c>
      <c r="R46" s="17" t="s">
        <v>92</v>
      </c>
      <c r="S46" s="17" t="s">
        <v>322</v>
      </c>
      <c r="T46" s="17" t="s">
        <v>430</v>
      </c>
      <c r="U46" s="17" t="s">
        <v>147</v>
      </c>
      <c r="V46" s="17"/>
      <c r="W46" s="17"/>
      <c r="X46" s="17" t="s">
        <v>431</v>
      </c>
      <c r="Y46" s="17" t="s">
        <v>99</v>
      </c>
      <c r="Z46" s="17"/>
      <c r="AA46" s="17" t="s">
        <v>90</v>
      </c>
      <c r="AB46" s="17" t="s">
        <v>90</v>
      </c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 t="s">
        <v>90</v>
      </c>
      <c r="AR46" s="17"/>
      <c r="AS46" s="17"/>
      <c r="AT46" s="17"/>
      <c r="AU46" s="17" t="s">
        <v>90</v>
      </c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 t="s">
        <v>90</v>
      </c>
      <c r="BR46" s="17" t="s">
        <v>90</v>
      </c>
      <c r="BS46" s="17"/>
      <c r="BT46" s="17" t="s">
        <v>432</v>
      </c>
      <c r="BU46" s="22"/>
      <c r="BV46" s="22"/>
      <c r="BW46" s="22"/>
      <c r="BX46" s="17" t="s">
        <v>91</v>
      </c>
      <c r="BY46" s="17"/>
      <c r="BZ46" s="17" t="s">
        <v>181</v>
      </c>
      <c r="CA46" s="17" t="s">
        <v>433</v>
      </c>
      <c r="CB46" s="17" t="s">
        <v>434</v>
      </c>
      <c r="CC46" s="17" t="s">
        <v>435</v>
      </c>
      <c r="CD46" s="17" t="s">
        <v>436</v>
      </c>
      <c r="CE46" s="17" t="s">
        <v>90</v>
      </c>
      <c r="CF46" s="17"/>
    </row>
    <row r="47" spans="1:84" ht="15" x14ac:dyDescent="0.2">
      <c r="A47" s="17" t="s">
        <v>127</v>
      </c>
      <c r="B47" s="18">
        <v>49856902</v>
      </c>
      <c r="C47" s="19">
        <v>45468.963888888888</v>
      </c>
      <c r="D47" s="17" t="s">
        <v>437</v>
      </c>
      <c r="E47" s="17" t="s">
        <v>438</v>
      </c>
      <c r="F47" s="17"/>
      <c r="G47" s="20">
        <v>799</v>
      </c>
      <c r="H47" s="20">
        <v>832.43</v>
      </c>
      <c r="I47" s="20">
        <v>33.43</v>
      </c>
      <c r="J47" s="17" t="s">
        <v>84</v>
      </c>
      <c r="K47" s="21">
        <v>34332</v>
      </c>
      <c r="L47" s="18">
        <v>30</v>
      </c>
      <c r="M47" s="17" t="s">
        <v>130</v>
      </c>
      <c r="N47" s="17" t="s">
        <v>114</v>
      </c>
      <c r="O47" s="18">
        <v>60657</v>
      </c>
      <c r="P47" s="17" t="s">
        <v>86</v>
      </c>
      <c r="Q47" s="17" t="s">
        <v>87</v>
      </c>
      <c r="R47" s="17" t="s">
        <v>88</v>
      </c>
      <c r="S47" s="17" t="s">
        <v>439</v>
      </c>
      <c r="T47" s="22"/>
      <c r="U47" s="17"/>
      <c r="V47" s="17"/>
      <c r="W47" s="17"/>
      <c r="X47" s="17"/>
      <c r="Y47" s="17" t="s">
        <v>440</v>
      </c>
      <c r="Z47" s="17"/>
      <c r="AA47" s="17"/>
      <c r="AB47" s="17"/>
      <c r="AC47" s="17" t="s">
        <v>90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 t="s">
        <v>90</v>
      </c>
      <c r="BJ47" s="17"/>
      <c r="BK47" s="17"/>
      <c r="BL47" s="17"/>
      <c r="BM47" s="17" t="s">
        <v>90</v>
      </c>
      <c r="BN47" s="17"/>
      <c r="BO47" s="17"/>
      <c r="BP47" s="17"/>
      <c r="BQ47" s="17"/>
      <c r="BR47" s="17" t="s">
        <v>90</v>
      </c>
      <c r="BS47" s="17"/>
      <c r="BT47" s="17" t="s">
        <v>441</v>
      </c>
      <c r="BU47" s="17" t="s">
        <v>442</v>
      </c>
      <c r="BV47" s="17"/>
      <c r="BW47" s="17"/>
      <c r="BX47" s="17" t="s">
        <v>90</v>
      </c>
      <c r="BY47" s="17" t="s">
        <v>443</v>
      </c>
      <c r="BZ47" s="17" t="s">
        <v>135</v>
      </c>
      <c r="CA47" s="17" t="s">
        <v>444</v>
      </c>
      <c r="CB47" s="17" t="s">
        <v>445</v>
      </c>
      <c r="CC47" s="17" t="s">
        <v>446</v>
      </c>
      <c r="CD47" s="17" t="s">
        <v>447</v>
      </c>
      <c r="CE47" s="17" t="s">
        <v>90</v>
      </c>
      <c r="CF47" s="17"/>
    </row>
    <row r="48" spans="1:84" ht="15" x14ac:dyDescent="0.2">
      <c r="A48" s="17" t="s">
        <v>127</v>
      </c>
      <c r="B48" s="18">
        <v>49856919</v>
      </c>
      <c r="C48" s="19">
        <v>45468.964583333334</v>
      </c>
      <c r="D48" s="17" t="s">
        <v>448</v>
      </c>
      <c r="E48" s="17" t="s">
        <v>438</v>
      </c>
      <c r="F48" s="17"/>
      <c r="G48" s="20">
        <v>799</v>
      </c>
      <c r="H48" s="20">
        <v>832.43</v>
      </c>
      <c r="I48" s="20">
        <v>33.43</v>
      </c>
      <c r="J48" s="17" t="s">
        <v>84</v>
      </c>
      <c r="K48" s="21">
        <v>30983</v>
      </c>
      <c r="L48" s="18">
        <v>39</v>
      </c>
      <c r="M48" s="17" t="s">
        <v>449</v>
      </c>
      <c r="N48" s="17" t="s">
        <v>123</v>
      </c>
      <c r="O48" s="18">
        <v>8512</v>
      </c>
      <c r="P48" s="17" t="s">
        <v>86</v>
      </c>
      <c r="Q48" s="17" t="s">
        <v>87</v>
      </c>
      <c r="R48" s="17" t="s">
        <v>97</v>
      </c>
      <c r="S48" s="17" t="s">
        <v>93</v>
      </c>
      <c r="T48" s="17"/>
      <c r="U48" s="17"/>
      <c r="V48" s="17"/>
      <c r="W48" s="17"/>
      <c r="X48" s="17"/>
      <c r="Y48" s="17" t="s">
        <v>99</v>
      </c>
      <c r="Z48" s="17"/>
      <c r="AA48" s="17"/>
      <c r="AB48" s="17"/>
      <c r="AC48" s="17" t="s">
        <v>90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 t="s">
        <v>90</v>
      </c>
      <c r="BM48" s="17"/>
      <c r="BN48" s="17"/>
      <c r="BO48" s="17"/>
      <c r="BP48" s="17"/>
      <c r="BQ48" s="17" t="s">
        <v>90</v>
      </c>
      <c r="BR48" s="17" t="s">
        <v>90</v>
      </c>
      <c r="BS48" s="17"/>
      <c r="BT48" s="17" t="s">
        <v>450</v>
      </c>
      <c r="BU48" s="22"/>
      <c r="BV48" s="22"/>
      <c r="BW48" s="17"/>
      <c r="BX48" s="17" t="s">
        <v>91</v>
      </c>
      <c r="BY48" s="17"/>
      <c r="BZ48" s="17" t="s">
        <v>135</v>
      </c>
      <c r="CA48" s="17" t="s">
        <v>122</v>
      </c>
      <c r="CB48" s="17" t="s">
        <v>451</v>
      </c>
      <c r="CC48" s="17" t="s">
        <v>452</v>
      </c>
      <c r="CD48" s="17" t="s">
        <v>453</v>
      </c>
      <c r="CE48" s="17" t="s">
        <v>90</v>
      </c>
      <c r="CF48" s="17"/>
    </row>
    <row r="49" spans="1:84" ht="15" x14ac:dyDescent="0.2">
      <c r="A49" s="17" t="s">
        <v>127</v>
      </c>
      <c r="B49" s="18">
        <v>49883145</v>
      </c>
      <c r="C49" s="19">
        <v>45469.914583333331</v>
      </c>
      <c r="D49" s="17" t="s">
        <v>454</v>
      </c>
      <c r="E49" s="17" t="s">
        <v>455</v>
      </c>
      <c r="F49" s="17"/>
      <c r="G49" s="20">
        <v>899</v>
      </c>
      <c r="H49" s="20">
        <v>938.6</v>
      </c>
      <c r="I49" s="20">
        <v>39.6</v>
      </c>
      <c r="J49" s="17" t="s">
        <v>96</v>
      </c>
      <c r="K49" s="21">
        <v>32886</v>
      </c>
      <c r="L49" s="18">
        <v>34</v>
      </c>
      <c r="M49" s="17" t="s">
        <v>130</v>
      </c>
      <c r="N49" s="17" t="s">
        <v>114</v>
      </c>
      <c r="O49" s="18">
        <v>60657</v>
      </c>
      <c r="P49" s="17" t="s">
        <v>86</v>
      </c>
      <c r="Q49" s="17" t="s">
        <v>87</v>
      </c>
      <c r="R49" s="17" t="s">
        <v>88</v>
      </c>
      <c r="S49" s="17" t="s">
        <v>93</v>
      </c>
      <c r="T49" s="17"/>
      <c r="U49" s="17"/>
      <c r="V49" s="17"/>
      <c r="W49" s="17"/>
      <c r="X49" s="17"/>
      <c r="Y49" s="17" t="s">
        <v>99</v>
      </c>
      <c r="Z49" s="17"/>
      <c r="AA49" s="17" t="s">
        <v>90</v>
      </c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 t="s">
        <v>90</v>
      </c>
      <c r="AV49" s="17"/>
      <c r="AW49" s="17"/>
      <c r="AX49" s="17"/>
      <c r="AY49" s="17"/>
      <c r="AZ49" s="17"/>
      <c r="BA49" s="17"/>
      <c r="BB49" s="17"/>
      <c r="BC49" s="17" t="s">
        <v>90</v>
      </c>
      <c r="BD49" s="17" t="s">
        <v>90</v>
      </c>
      <c r="BE49" s="17"/>
      <c r="BF49" s="17" t="s">
        <v>456</v>
      </c>
      <c r="BG49" s="22"/>
      <c r="BH49" s="22"/>
      <c r="BI49" s="17"/>
      <c r="BJ49" s="17" t="s">
        <v>91</v>
      </c>
      <c r="BK49" s="17"/>
      <c r="BL49" s="17" t="s">
        <v>135</v>
      </c>
      <c r="BM49" s="17" t="s">
        <v>117</v>
      </c>
      <c r="BN49" s="17" t="s">
        <v>457</v>
      </c>
      <c r="BO49" s="17" t="s">
        <v>458</v>
      </c>
      <c r="BP49" s="17"/>
      <c r="BQ49" s="17" t="s">
        <v>90</v>
      </c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</row>
    <row r="50" spans="1:84" ht="15" x14ac:dyDescent="0.2">
      <c r="A50" s="17" t="s">
        <v>127</v>
      </c>
      <c r="B50" s="18">
        <v>50119484</v>
      </c>
      <c r="C50" s="19">
        <v>45477.451388888891</v>
      </c>
      <c r="D50" s="17" t="s">
        <v>459</v>
      </c>
      <c r="E50" s="17" t="s">
        <v>372</v>
      </c>
      <c r="F50" s="17"/>
      <c r="G50" s="20">
        <v>650</v>
      </c>
      <c r="H50" s="20">
        <v>680.15</v>
      </c>
      <c r="I50" s="20">
        <v>30.15</v>
      </c>
      <c r="J50" s="17" t="s">
        <v>84</v>
      </c>
      <c r="K50" s="21">
        <v>36634</v>
      </c>
      <c r="L50" s="18">
        <v>24</v>
      </c>
      <c r="M50" s="17" t="s">
        <v>130</v>
      </c>
      <c r="N50" s="17" t="s">
        <v>114</v>
      </c>
      <c r="O50" s="18">
        <v>60614</v>
      </c>
      <c r="P50" s="17" t="s">
        <v>86</v>
      </c>
      <c r="Q50" s="17" t="s">
        <v>87</v>
      </c>
      <c r="R50" s="17" t="s">
        <v>92</v>
      </c>
      <c r="S50" s="17" t="s">
        <v>93</v>
      </c>
      <c r="T50" s="17"/>
      <c r="U50" s="17" t="s">
        <v>249</v>
      </c>
      <c r="V50" s="17"/>
      <c r="W50" s="17"/>
      <c r="X50" s="17" t="s">
        <v>460</v>
      </c>
      <c r="Y50" s="17" t="s">
        <v>99</v>
      </c>
      <c r="Z50" s="17"/>
      <c r="AA50" s="17"/>
      <c r="AB50" s="17"/>
      <c r="AC50" s="17" t="s">
        <v>90</v>
      </c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 t="s">
        <v>90</v>
      </c>
      <c r="BF50" s="17"/>
      <c r="BG50" s="17"/>
      <c r="BH50" s="17"/>
      <c r="BI50" s="17"/>
      <c r="BJ50" s="17" t="s">
        <v>91</v>
      </c>
      <c r="BK50" s="17"/>
      <c r="BL50" s="17" t="s">
        <v>135</v>
      </c>
      <c r="BM50" s="17" t="s">
        <v>111</v>
      </c>
      <c r="BN50" s="17" t="s">
        <v>461</v>
      </c>
      <c r="BO50" s="17" t="s">
        <v>113</v>
      </c>
      <c r="BP50" s="17"/>
      <c r="BQ50" s="17" t="s">
        <v>90</v>
      </c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</row>
    <row r="51" spans="1:84" ht="15" x14ac:dyDescent="0.2">
      <c r="A51" s="17" t="s">
        <v>127</v>
      </c>
      <c r="B51" s="18">
        <v>50120200</v>
      </c>
      <c r="C51" s="19">
        <v>45477.468055555553</v>
      </c>
      <c r="D51" s="17" t="s">
        <v>213</v>
      </c>
      <c r="E51" s="17" t="s">
        <v>372</v>
      </c>
      <c r="F51" s="17"/>
      <c r="G51" s="20">
        <v>650</v>
      </c>
      <c r="H51" s="20">
        <v>680.15</v>
      </c>
      <c r="I51" s="20">
        <v>30.15</v>
      </c>
      <c r="J51" s="17" t="s">
        <v>84</v>
      </c>
      <c r="K51" s="21">
        <v>34406</v>
      </c>
      <c r="L51" s="18">
        <v>30</v>
      </c>
      <c r="M51" s="17" t="s">
        <v>130</v>
      </c>
      <c r="N51" s="17" t="s">
        <v>114</v>
      </c>
      <c r="O51" s="18">
        <v>60657</v>
      </c>
      <c r="P51" s="17" t="s">
        <v>86</v>
      </c>
      <c r="Q51" s="17" t="s">
        <v>87</v>
      </c>
      <c r="R51" s="17" t="s">
        <v>88</v>
      </c>
      <c r="S51" s="17" t="s">
        <v>93</v>
      </c>
      <c r="T51" s="17"/>
      <c r="U51" s="17" t="s">
        <v>249</v>
      </c>
      <c r="V51" s="17"/>
      <c r="W51" s="17"/>
      <c r="X51" s="17" t="s">
        <v>462</v>
      </c>
      <c r="Y51" s="17" t="s">
        <v>99</v>
      </c>
      <c r="Z51" s="17"/>
      <c r="AA51" s="17"/>
      <c r="AB51" s="17"/>
      <c r="AC51" s="17" t="s">
        <v>90</v>
      </c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 t="s">
        <v>90</v>
      </c>
      <c r="BE51" s="17"/>
      <c r="BF51" s="17" t="s">
        <v>126</v>
      </c>
      <c r="BG51" s="17" t="s">
        <v>462</v>
      </c>
      <c r="BH51" s="22"/>
      <c r="BI51" s="17"/>
      <c r="BJ51" s="17" t="s">
        <v>91</v>
      </c>
      <c r="BK51" s="17"/>
      <c r="BL51" s="17" t="s">
        <v>91</v>
      </c>
      <c r="BM51" s="17" t="s">
        <v>463</v>
      </c>
      <c r="BN51" s="22"/>
      <c r="BO51" s="22"/>
      <c r="BP51" s="17"/>
      <c r="BQ51" s="17" t="s">
        <v>90</v>
      </c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</row>
    <row r="52" spans="1:84" ht="15" x14ac:dyDescent="0.2">
      <c r="A52" s="17" t="s">
        <v>127</v>
      </c>
      <c r="B52" s="18">
        <v>50173104</v>
      </c>
      <c r="C52" s="19">
        <v>45479.444444444445</v>
      </c>
      <c r="D52" s="17" t="s">
        <v>464</v>
      </c>
      <c r="E52" s="17" t="s">
        <v>465</v>
      </c>
      <c r="F52" s="17"/>
      <c r="G52" s="20">
        <v>950</v>
      </c>
      <c r="H52" s="20">
        <v>988.71</v>
      </c>
      <c r="I52" s="20">
        <v>38.71</v>
      </c>
      <c r="J52" s="17" t="s">
        <v>84</v>
      </c>
      <c r="K52" s="21">
        <v>35076</v>
      </c>
      <c r="L52" s="18">
        <v>28</v>
      </c>
      <c r="M52" s="17" t="s">
        <v>83</v>
      </c>
      <c r="N52" s="17" t="s">
        <v>85</v>
      </c>
      <c r="O52" s="18">
        <v>30329</v>
      </c>
      <c r="P52" s="17" t="s">
        <v>86</v>
      </c>
      <c r="Q52" s="17" t="s">
        <v>87</v>
      </c>
      <c r="R52" s="17" t="s">
        <v>97</v>
      </c>
      <c r="S52" s="17" t="s">
        <v>93</v>
      </c>
      <c r="T52" s="17"/>
      <c r="U52" s="17"/>
      <c r="V52" s="17"/>
      <c r="W52" s="17"/>
      <c r="X52" s="17"/>
      <c r="Y52" s="17" t="s">
        <v>100</v>
      </c>
      <c r="Z52" s="22"/>
      <c r="AA52" s="17"/>
      <c r="AB52" s="17"/>
      <c r="AC52" s="17" t="s">
        <v>90</v>
      </c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 t="s">
        <v>90</v>
      </c>
      <c r="BF52" s="17"/>
      <c r="BG52" s="17" t="s">
        <v>466</v>
      </c>
      <c r="BH52" s="17"/>
      <c r="BI52" s="17"/>
      <c r="BJ52" s="17" t="s">
        <v>91</v>
      </c>
      <c r="BK52" s="17"/>
      <c r="BL52" s="17" t="s">
        <v>135</v>
      </c>
      <c r="BM52" s="17" t="s">
        <v>467</v>
      </c>
      <c r="BN52" s="17" t="s">
        <v>468</v>
      </c>
      <c r="BO52" s="17" t="s">
        <v>95</v>
      </c>
      <c r="BP52" s="17"/>
      <c r="BQ52" s="17" t="s">
        <v>90</v>
      </c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Dashboards</vt:lpstr>
      <vt:lpstr>Summary tables</vt:lpstr>
      <vt:lpstr>Playground</vt:lpstr>
      <vt:lpstr>Data 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Hillel Morris</cp:lastModifiedBy>
  <dcterms:created xsi:type="dcterms:W3CDTF">2026-02-23T17:36:20Z</dcterms:created>
  <dcterms:modified xsi:type="dcterms:W3CDTF">2026-02-23T17:36:20Z</dcterms:modified>
</cp:coreProperties>
</file>